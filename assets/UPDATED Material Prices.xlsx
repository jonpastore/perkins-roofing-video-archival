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 (51022)" sheetId="1" r:id="rId5"/>
    <sheet state="hidden" name="ABC (72722)" sheetId="2" r:id="rId6"/>
    <sheet state="hidden" name="ABC (91622)" sheetId="3" r:id="rId7"/>
    <sheet state="hidden" name="ABC (12122)" sheetId="4" r:id="rId8"/>
    <sheet state="hidden" name="ABC (21723)" sheetId="5" r:id="rId9"/>
    <sheet state="hidden" name=" ABC (6623)" sheetId="6" r:id="rId10"/>
    <sheet state="visible" name="ABC (51625)" sheetId="7" r:id="rId11"/>
    <sheet state="visible" name="ABC (42926)" sheetId="8" r:id="rId12"/>
    <sheet state="hidden" name="ABC (92223)" sheetId="9" r:id="rId13"/>
    <sheet state="visible" name="Beacon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tc={4062575a-dd1b-4c87-a453-293c491c3164}</author>
    <author>tc={5587dc25-b544-4292-9c96-aa2cb7f345a1}</author>
  </authors>
  <commentList>
    <comment authorId="0" xr:uid="{4062575a-dd1b-4c87-a453-293c491c3164}" ref="E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gal does 3 squares
</t>
      </text>
    </comment>
    <comment authorId="1" xr:uid="{5587dc25-b544-4292-9c96-aa2cb7f345a1}" ref="E1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 LF of tape per SQ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tc={38d3ea93-b35a-4e53-9cdf-f9b319a596f1}</author>
    <author>tc={b0a1fc30-b40e-44b3-97fb-82b621f27ac4}</author>
  </authors>
  <commentList>
    <comment authorId="0" xr:uid="{38d3ea93-b35a-4e53-9cdf-f9b319a596f1}" ref="F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Price per LF
</t>
      </text>
    </comment>
    <comment authorId="1" xr:uid="{b0a1fc30-b40e-44b3-97fb-82b621f27ac4}" ref="B1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66' per roll
</t>
      </text>
    </comment>
  </commentList>
</comments>
</file>

<file path=xl/sharedStrings.xml><?xml version="1.0" encoding="utf-8"?>
<sst xmlns="http://schemas.openxmlformats.org/spreadsheetml/2006/main" count="1354" uniqueCount="231">
  <si>
    <t>Item</t>
  </si>
  <si>
    <t>Price</t>
  </si>
  <si>
    <t>w/ Tax</t>
  </si>
  <si>
    <t>w/ Waste</t>
  </si>
  <si>
    <t>Squares per M</t>
  </si>
  <si>
    <t>Price per Square</t>
  </si>
  <si>
    <t>1 1/4" Coil Nails</t>
  </si>
  <si>
    <t>Tin Tags</t>
  </si>
  <si>
    <t>5/8" CDX Plywood</t>
  </si>
  <si>
    <t>1x6 T&amp;G x 12</t>
  </si>
  <si>
    <t>1x8 T&amp;G x 12</t>
  </si>
  <si>
    <t>1x2 x8 (wood nailer)</t>
  </si>
  <si>
    <t>1x4 x 8 (fascia)</t>
  </si>
  <si>
    <t>2x4 x 10 (structural)</t>
  </si>
  <si>
    <t>10' Term Bar</t>
  </si>
  <si>
    <t>10' Galv. Stucco Metal</t>
  </si>
  <si>
    <t>10' Copper Stucco Metal</t>
  </si>
  <si>
    <t>4x5 Galv. "L" Metal</t>
  </si>
  <si>
    <t>4x5 Copper "L" Metal</t>
  </si>
  <si>
    <t>5x7 Galv. "L" Metal</t>
  </si>
  <si>
    <t>Tamko #30</t>
  </si>
  <si>
    <t>GAP #30</t>
  </si>
  <si>
    <t>Apoc #30</t>
  </si>
  <si>
    <t>GAF #75 Base</t>
  </si>
  <si>
    <t>TU Plus</t>
  </si>
  <si>
    <t>MTS</t>
  </si>
  <si>
    <t>26 ga. Galv. Valley Metal (50 ft.)</t>
  </si>
  <si>
    <t>3x3 Drip Metal</t>
  </si>
  <si>
    <t>3x3 Copper Drip Metal</t>
  </si>
  <si>
    <t>PG 500</t>
  </si>
  <si>
    <t>Karnak Amphibikote</t>
  </si>
  <si>
    <t>Polyflash 1C</t>
  </si>
  <si>
    <t>3" Ridge Metal</t>
  </si>
  <si>
    <t>4" Ridge Metal</t>
  </si>
  <si>
    <t>5" Ridge Metal</t>
  </si>
  <si>
    <t>6" Ridge Metal</t>
  </si>
  <si>
    <t>XT-25 3 Tab Shingles</t>
  </si>
  <si>
    <t>Landmark Arch. Shingles</t>
  </si>
  <si>
    <t>Landmark Pro Arch. Shingles</t>
  </si>
  <si>
    <t>GAF Versashield</t>
  </si>
  <si>
    <t>2" Led Stacks</t>
  </si>
  <si>
    <t>10" Gooseneck Vent</t>
  </si>
  <si>
    <t>PG 100 Asphalt Primer</t>
  </si>
  <si>
    <t>Elastobase</t>
  </si>
  <si>
    <t>SA V FR</t>
  </si>
  <si>
    <t>SA P FR</t>
  </si>
  <si>
    <t>SAV Plus FR</t>
  </si>
  <si>
    <t>-</t>
  </si>
  <si>
    <t>Polyfresko SA FR</t>
  </si>
  <si>
    <t>Polyfresko G FR</t>
  </si>
  <si>
    <t>1/4" SecuRock</t>
  </si>
  <si>
    <t>1/2" SecuRock</t>
  </si>
  <si>
    <t>1" Insulation</t>
  </si>
  <si>
    <t>1.5" Insulation</t>
  </si>
  <si>
    <t>2" Insulation</t>
  </si>
  <si>
    <t>2.5" Insulation</t>
  </si>
  <si>
    <t>3.5" Insulation</t>
  </si>
  <si>
    <t>Olybond 500 (A&amp;B Cannisters)</t>
  </si>
  <si>
    <t>TPO  1 5/8" Screws (1,000)</t>
  </si>
  <si>
    <t>TPO 2 1/4" Screws (1,000)</t>
  </si>
  <si>
    <t>TPO 2 7/8" Screws (1,000)</t>
  </si>
  <si>
    <t>TPO 3 3/4" Screws (1,000)</t>
  </si>
  <si>
    <t>TPO 4 1/2" Screws (1,000)</t>
  </si>
  <si>
    <t>TPO 10" Screws (1,000)</t>
  </si>
  <si>
    <t>TPO 11" Screws (1,000)</t>
  </si>
  <si>
    <t>TPO 12"  Screws (1,000)</t>
  </si>
  <si>
    <t>3" ISO Plates (1,000)</t>
  </si>
  <si>
    <t>2 3/8" Barbed Seam Plates (1,000)</t>
  </si>
  <si>
    <t>60 mil GAF TPO</t>
  </si>
  <si>
    <t>60 mil GAF TPO (5' roll)</t>
  </si>
  <si>
    <t>GAF Detail Membrane</t>
  </si>
  <si>
    <t>1121 TPO Bonding Adhesive</t>
  </si>
  <si>
    <t>Cut Edge Sealant</t>
  </si>
  <si>
    <t>TPO Seam Cleaner</t>
  </si>
  <si>
    <t>GAF TPO Split Boots</t>
  </si>
  <si>
    <t>GAF TPO Patches (100)</t>
  </si>
  <si>
    <t>GAF Waterblock</t>
  </si>
  <si>
    <t>Unisil A and B Primer</t>
  </si>
  <si>
    <t>Unisil Top Coat</t>
  </si>
  <si>
    <t>Surface Seal SB</t>
  </si>
  <si>
    <t>HydroStop Unibase Primer</t>
  </si>
  <si>
    <t>HydroStop Foundation Coat</t>
  </si>
  <si>
    <t>HydroStop Finish Coat</t>
  </si>
  <si>
    <t>GAF FlexCoat</t>
  </si>
  <si>
    <t>PB 98</t>
  </si>
  <si>
    <t>PB 95</t>
  </si>
  <si>
    <t>PB 745</t>
  </si>
  <si>
    <t>PB 70</t>
  </si>
  <si>
    <t>ICP Tile Foam (17 gal) A&amp;B - 13" tile</t>
  </si>
  <si>
    <t>ICP Tile Foam (17 gal) A&amp;B - barrel</t>
  </si>
  <si>
    <t>MH 60 mil Fleeceback TPO</t>
  </si>
  <si>
    <t>MH 60 mil TPO (10' roll)</t>
  </si>
  <si>
    <t>MH 60 mil TPO (6' roll)</t>
  </si>
  <si>
    <t>MH Detail Membrane</t>
  </si>
  <si>
    <t>MH AquaBase TPO Bonding Adhesive</t>
  </si>
  <si>
    <t>MH Cut Edge Sealant</t>
  </si>
  <si>
    <t>MH TPO Seam Cleaner</t>
  </si>
  <si>
    <t>MH TPO Split Boots</t>
  </si>
  <si>
    <t>MH TPO Patches (100)</t>
  </si>
  <si>
    <t>MH TPO Clad Sheet</t>
  </si>
  <si>
    <t>MH Waterblock</t>
  </si>
  <si>
    <t>Material</t>
  </si>
  <si>
    <t>MKT</t>
  </si>
  <si>
    <t>5x7 Copper "L" Metal</t>
  </si>
  <si>
    <t>XFR</t>
  </si>
  <si>
    <t>PP 50</t>
  </si>
  <si>
    <t>Landmark Shingles</t>
  </si>
  <si>
    <t>3" Led Stacks</t>
  </si>
  <si>
    <t>4" Led Stacks</t>
  </si>
  <si>
    <t>PENDING</t>
  </si>
  <si>
    <t>GAF VersaShield Solo</t>
  </si>
  <si>
    <t>GAF TPO Red Primer</t>
  </si>
  <si>
    <t>HydroStop BarrierGuard</t>
  </si>
  <si>
    <t>PB 93</t>
  </si>
  <si>
    <t>WB-3000 (acrylic primer) - 5 gal</t>
  </si>
  <si>
    <t>SA V (non FR)</t>
  </si>
  <si>
    <t>SA P (non FR)</t>
  </si>
  <si>
    <t>4" SA V Flashing Strips (10 rolls per box) - $23.20 per roll</t>
  </si>
  <si>
    <t>6" SA V Flashing Strips (6 rolls per box) - $24.50 per roll (Beacon)</t>
  </si>
  <si>
    <t>1/2" Plywood</t>
  </si>
  <si>
    <t>2x2 Painted Drip Metal</t>
  </si>
  <si>
    <t>4x5 Glav "L" Metal</t>
  </si>
  <si>
    <t>TU Plus (80 mil)</t>
  </si>
  <si>
    <t>TU Max (60 mil)</t>
  </si>
  <si>
    <t>MTS (60 mil)</t>
  </si>
  <si>
    <t>XFR (80 mil)</t>
  </si>
  <si>
    <t xml:space="preserve">Sheething nails </t>
  </si>
  <si>
    <t>1x6 T&amp;G x 12 (pine)</t>
  </si>
  <si>
    <t>1x8 T&amp;G x 12 (pine)</t>
  </si>
  <si>
    <t>1x6 x 12 (fascia)</t>
  </si>
  <si>
    <t>1x8 x 12 (fascia)</t>
  </si>
  <si>
    <t>1" Led Stacks</t>
  </si>
  <si>
    <t>5" Led Stacks</t>
  </si>
  <si>
    <t>16" Copper Valley Metal (60 ft. = 80 lbs)</t>
  </si>
  <si>
    <t>IR-Xe (60 mil)</t>
  </si>
  <si>
    <t>Starter Shingles</t>
  </si>
  <si>
    <t>H&amp;R Shingles</t>
  </si>
  <si>
    <t>Elastobase V</t>
  </si>
  <si>
    <t>SA V</t>
  </si>
  <si>
    <t>SA P</t>
  </si>
  <si>
    <t>1" Insulation (stock)</t>
  </si>
  <si>
    <t>1.5" Insulation (stock)</t>
  </si>
  <si>
    <t>2" Insulation (stock)</t>
  </si>
  <si>
    <t>2.5" Insulation (stock)</t>
  </si>
  <si>
    <t>3" Insulation (stock)</t>
  </si>
  <si>
    <t>TPO  1 5/8" Screws (1,000) - stock price</t>
  </si>
  <si>
    <t>TPO 2 1/4" Screws (1,000) - stock price</t>
  </si>
  <si>
    <t>3" ISO Plates (1,000) - stock price</t>
  </si>
  <si>
    <t>2 3/8" Barbed Seam Plates (1,000) - stock price</t>
  </si>
  <si>
    <t>60 mil GAF TPO - stock price</t>
  </si>
  <si>
    <t>60 mil GAF TPO (5' roll) - stock price</t>
  </si>
  <si>
    <t>GAF VersaShield Solo - stock price</t>
  </si>
  <si>
    <t>GAF Detail Membrane - stock price</t>
  </si>
  <si>
    <t>1121 TPO Bonding Adhesive - stock price</t>
  </si>
  <si>
    <t>Cut Edge Sealant - stock price</t>
  </si>
  <si>
    <t>TPO Seam Cleaner (1 gal) - stock price</t>
  </si>
  <si>
    <t>GAF TPO Split Boots (3-5") - stock price</t>
  </si>
  <si>
    <t>GAF TPO Patches (100) - stock price</t>
  </si>
  <si>
    <t>GAF Waterblock - stock price</t>
  </si>
  <si>
    <t>Unitile LV Sealer</t>
  </si>
  <si>
    <t>Unisil A&amp;B Primer</t>
  </si>
  <si>
    <t>GAF TPO Red Primer (5 gal)</t>
  </si>
  <si>
    <t>PB 97X (2-part silicone primer)... for both A&amp;B</t>
  </si>
  <si>
    <t>PB 98 (silicone primer)</t>
  </si>
  <si>
    <t>PB 95 (solvent based silicone)</t>
  </si>
  <si>
    <t>PB 93 (silicone mastic - 3.5 gal)</t>
  </si>
  <si>
    <t>PB 745 (acyrlic primer)</t>
  </si>
  <si>
    <t>PB 74 (metal primer)</t>
  </si>
  <si>
    <t>PB 70 (acrylic)</t>
  </si>
  <si>
    <t>PB 77 (thermoplastic flashing grade - 3.5 gal)</t>
  </si>
  <si>
    <t>Polyglass Fabric 6" x 300'</t>
  </si>
  <si>
    <t>WB-3000 (acrylic primer) - 5 gal - $160 per Beacon</t>
  </si>
  <si>
    <t>PolyAnchor HV (55 mil)</t>
  </si>
  <si>
    <t xml:space="preserve"> Materials</t>
  </si>
  <si>
    <t>Eave Closure</t>
  </si>
  <si>
    <t>CT WinterGuard SandX (shingle)</t>
  </si>
  <si>
    <t>Roofnado Spyder PSU (shingle)</t>
  </si>
  <si>
    <t>Roofnado AnchorDeck PSU (40 mil) - shingle and metal HVHZ</t>
  </si>
  <si>
    <t>CT Vycor Grace Ice &amp; Fire (40 mil)</t>
  </si>
  <si>
    <t>Roofnado AnchorDeck PSU HT (50 mil)</t>
  </si>
  <si>
    <t>Roofnado AnchorDeck LapLock HD 60 (60 mil)</t>
  </si>
  <si>
    <t>Polyglass PX-HT</t>
  </si>
  <si>
    <t>Polyglass MX (50 mil) - shingles &amp; metal</t>
  </si>
  <si>
    <t>Polyglass Modifleece</t>
  </si>
  <si>
    <t>CT Flintlastic PlyBase SA</t>
  </si>
  <si>
    <t>Bright white CAP</t>
  </si>
  <si>
    <t>CT Flintlastic SA Cap</t>
  </si>
  <si>
    <t>4.5" Insulation (stock)</t>
  </si>
  <si>
    <t>Polyglass Low-Rise Foam (A&amp;B Cannisters)</t>
  </si>
  <si>
    <t>PB 84 (metal primer)</t>
  </si>
  <si>
    <t>6" SA V Flashing Strips (6 rolls per box) - $23.27 per roll</t>
  </si>
  <si>
    <t>9" SA V Flashing Strips (6 rolls per box) - $38.75 per roll</t>
  </si>
  <si>
    <t xml:space="preserve">Carribiean Tile </t>
  </si>
  <si>
    <t>1x6 T&amp;G x 10 (pine)</t>
  </si>
  <si>
    <t>1x8 T&amp;G x 10 (pine)</t>
  </si>
  <si>
    <t>1x6 x 10 (fascia)</t>
  </si>
  <si>
    <t>1x8 x 10 (fascia)</t>
  </si>
  <si>
    <t>2x6 x 10 (structural)</t>
  </si>
  <si>
    <t>2x8 x 10 (structural)</t>
  </si>
  <si>
    <t>2x10 x 10 (structural)</t>
  </si>
  <si>
    <t xml:space="preserve"> </t>
  </si>
  <si>
    <t>2x2 Drip Metal</t>
  </si>
  <si>
    <t>CT Ridge Vent 12" Filter (4')</t>
  </si>
  <si>
    <t>Polyflex G</t>
  </si>
  <si>
    <t>Polyflex G FR</t>
  </si>
  <si>
    <t>TPO 2" Screws (1,000) - stock price</t>
  </si>
  <si>
    <t>TPO 3" Screws (1,000)</t>
  </si>
  <si>
    <t>TPO 4" Screws (1,000)</t>
  </si>
  <si>
    <t>TPO 5" Screws (1,000)</t>
  </si>
  <si>
    <t>TPO 6" Screws (1,000)</t>
  </si>
  <si>
    <t>TPO 7" Screws (1,000)</t>
  </si>
  <si>
    <t>TPO 8"  Screws (1,000)</t>
  </si>
  <si>
    <t>TPO 9" Screws (1,000)</t>
  </si>
  <si>
    <t>Tile Bond (23 LB)</t>
  </si>
  <si>
    <t>6" SA V Flashing Strips (6 rolls per box) - $25.85 per roll</t>
  </si>
  <si>
    <t>AA Tapered Iso (.5-1")</t>
  </si>
  <si>
    <t>A Tapered Iso (1"-1.5")</t>
  </si>
  <si>
    <t>B Tapered Iso (1.5-2")</t>
  </si>
  <si>
    <t>C Tapered Iso (2"-2.5")</t>
  </si>
  <si>
    <t>X Tapered Iso (.5-1.5")</t>
  </si>
  <si>
    <t>Y Tapered Iso (1.5-2.5")</t>
  </si>
  <si>
    <t>Q Tapered Iso (.5-2.5")</t>
  </si>
  <si>
    <t>Eave Closures</t>
  </si>
  <si>
    <t xml:space="preserve"> f</t>
  </si>
  <si>
    <t>Tri F #30</t>
  </si>
  <si>
    <t>IR-Xe</t>
  </si>
  <si>
    <t>Polyfresko G SA FR</t>
  </si>
  <si>
    <t>5/8" SecuRock</t>
  </si>
  <si>
    <t>60 mil GAF Fleeceback TPO (5' roll)</t>
  </si>
  <si>
    <t>Detail Membrane</t>
  </si>
  <si>
    <t>GAF TPO Split Boots (3" - 5")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</si>
</sst>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[$$]#,##0"/>
    <numFmt numFmtId="166" formatCode="&quot;$&quot;#,##0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/>
    </xf>
    <xf borderId="5" fillId="3" fontId="2" numFmtId="164" xfId="0" applyAlignment="1" applyBorder="1" applyFill="1" applyFont="1" applyNumberFormat="1">
      <alignment horizontal="center" readingOrder="0"/>
    </xf>
    <xf borderId="5" fillId="0" fontId="2" numFmtId="165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readingOrder="0"/>
    </xf>
    <xf borderId="6" fillId="0" fontId="2" numFmtId="165" xfId="0" applyAlignment="1" applyBorder="1" applyFont="1" applyNumberFormat="1">
      <alignment horizontal="center"/>
    </xf>
    <xf borderId="5" fillId="4" fontId="2" numFmtId="0" xfId="0" applyAlignment="1" applyBorder="1" applyFill="1" applyFont="1">
      <alignment horizontal="center" readingOrder="0"/>
    </xf>
    <xf borderId="0" fillId="4" fontId="2" numFmtId="0" xfId="0" applyAlignment="1" applyFont="1">
      <alignment horizontal="center" readingOrder="0"/>
    </xf>
    <xf borderId="5" fillId="3" fontId="2" numFmtId="166" xfId="0" applyAlignment="1" applyBorder="1" applyFont="1" applyNumberFormat="1">
      <alignment horizontal="center" readingOrder="0"/>
    </xf>
    <xf borderId="4" fillId="0" fontId="2" numFmtId="0" xfId="0" applyAlignment="1" applyBorder="1" applyFont="1">
      <alignment horizontal="center"/>
    </xf>
    <xf borderId="5" fillId="3" fontId="2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  <xf borderId="5" fillId="3" fontId="1" numFmtId="164" xfId="0" applyAlignment="1" applyBorder="1" applyFont="1" applyNumberFormat="1">
      <alignment horizontal="center" readingOrder="0"/>
    </xf>
    <xf borderId="5" fillId="0" fontId="1" numFmtId="165" xfId="0" applyAlignment="1" applyBorder="1" applyFont="1" applyNumberFormat="1">
      <alignment horizontal="center"/>
    </xf>
    <xf borderId="5" fillId="4" fontId="1" numFmtId="0" xfId="0" applyAlignment="1" applyBorder="1" applyFont="1">
      <alignment horizontal="center" readingOrder="0"/>
    </xf>
    <xf borderId="6" fillId="0" fontId="1" numFmtId="165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8" fillId="3" fontId="2" numFmtId="166" xfId="0" applyAlignment="1" applyBorder="1" applyFont="1" applyNumberFormat="1">
      <alignment horizontal="center" readingOrder="0"/>
    </xf>
    <xf borderId="8" fillId="0" fontId="2" numFmtId="165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 readingOrder="0"/>
    </xf>
    <xf borderId="9" fillId="0" fontId="2" numFmtId="165" xfId="0" applyAlignment="1" applyBorder="1" applyFont="1" applyNumberFormat="1">
      <alignment horizontal="center"/>
    </xf>
    <xf borderId="5" fillId="3" fontId="2" numFmtId="164" xfId="0" applyAlignment="1" applyBorder="1" applyFont="1" applyNumberFormat="1">
      <alignment horizontal="center" readingOrder="0"/>
    </xf>
    <xf borderId="5" fillId="5" fontId="2" numFmtId="164" xfId="0" applyAlignment="1" applyBorder="1" applyFill="1" applyFont="1" applyNumberFormat="1">
      <alignment horizontal="center" readingOrder="0"/>
    </xf>
    <xf borderId="5" fillId="6" fontId="2" numFmtId="164" xfId="0" applyAlignment="1" applyBorder="1" applyFill="1" applyFont="1" applyNumberFormat="1">
      <alignment horizontal="center" readingOrder="0"/>
    </xf>
    <xf borderId="4" fillId="6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2" numFmtId="166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center"/>
    </xf>
    <xf borderId="0" fillId="0" fontId="2" numFmtId="0" xfId="0" applyFont="1"/>
    <xf borderId="6" fillId="7" fontId="2" numFmtId="165" xfId="0" applyAlignment="1" applyBorder="1" applyFill="1" applyFont="1" applyNumberFormat="1">
      <alignment horizontal="center"/>
    </xf>
    <xf borderId="8" fillId="3" fontId="2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134</xdr:row>
      <xdr:rowOff>-47625</xdr:rowOff>
    </xdr:from>
    <xdr:ext cx="13554075" cy="17506950"/>
    <xdr:pic>
      <xdr:nvPicPr>
        <xdr:cNvPr id="0" name="image2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0</xdr:colOff>
      <xdr:row>0</xdr:row>
      <xdr:rowOff>0</xdr:rowOff>
    </xdr:from>
    <xdr:ext cx="1333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m Kanak" id="{e43ac10b-0da8-44c2-bbdc-4da80940c50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03" dT="2022-08-08T19:46:16.00" personId="{e43ac10b-0da8-44c2-bbdc-4da80940c500}" id="{5587dc25-b544-4292-9c96-aa2cb7f345a1}" done="0">
    <x18tc:text xml:space="preserve">50 LF of tape per SQ</x18tc:text>
  </x18tc:threadedComment>
  <x18tc:threadedComment ref="E100" dT="2022-08-08T19:37:30.00" personId="{e43ac10b-0da8-44c2-bbdc-4da80940c500}" id="{4062575a-dd1b-4c87-a453-293c491c3164}" done="0">
    <x18tc:text xml:space="preserve">1 gal does 3 squares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59" dT="2026-05-07T14:36:44.00" personId="{e43ac10b-0da8-44c2-bbdc-4da80940c500}" id="{38d3ea93-b35a-4e53-9cdf-f9b319a596f1}" done="0">
    <x18tc:text xml:space="preserve">Price per LF</x18tc:text>
  </x18tc:threadedComment>
  <x18tc:threadedComment ref="B113" dT="2026-05-07T16:08:03.00" personId="{e43ac10b-0da8-44c2-bbdc-4da80940c500}" id="{b0a1fc30-b40e-44b3-97fb-82b621f27ac4}" done="0">
    <x18tc:text xml:space="preserve">66' per roll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2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13.88"/>
    <col customWidth="1" min="4" max="4" width="14.88"/>
    <col customWidth="1" min="5" max="5" width="19.13"/>
    <col customWidth="1" min="6" max="6" width="39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70.99</v>
      </c>
      <c r="C2" s="6">
        <f t="shared" ref="C2:C104" si="1">B2*1.07</f>
        <v>75.9593</v>
      </c>
      <c r="D2" s="6">
        <f t="shared" ref="D2:D104" si="2">C2*1.1</f>
        <v>83.55523</v>
      </c>
      <c r="E2" s="7">
        <v>12.5</v>
      </c>
      <c r="F2" s="8">
        <f t="shared" ref="F2:F104" si="3">D2/E2</f>
        <v>6.6844184</v>
      </c>
    </row>
    <row r="3">
      <c r="A3" s="4" t="s">
        <v>7</v>
      </c>
      <c r="B3" s="5">
        <v>99.99</v>
      </c>
      <c r="C3" s="6">
        <f t="shared" si="1"/>
        <v>106.9893</v>
      </c>
      <c r="D3" s="6">
        <f t="shared" si="2"/>
        <v>117.68823</v>
      </c>
      <c r="E3" s="7">
        <v>20.0</v>
      </c>
      <c r="F3" s="8">
        <f t="shared" si="3"/>
        <v>5.8844115</v>
      </c>
    </row>
    <row r="4">
      <c r="A4" s="4" t="s">
        <v>8</v>
      </c>
      <c r="B4" s="5">
        <v>60.0</v>
      </c>
      <c r="C4" s="6">
        <f t="shared" si="1"/>
        <v>64.2</v>
      </c>
      <c r="D4" s="6">
        <f t="shared" si="2"/>
        <v>70.62</v>
      </c>
      <c r="E4" s="7">
        <v>0.32</v>
      </c>
      <c r="F4" s="8">
        <f t="shared" si="3"/>
        <v>220.6875</v>
      </c>
    </row>
    <row r="5">
      <c r="A5" s="4" t="s">
        <v>9</v>
      </c>
      <c r="B5" s="5">
        <v>10.5</v>
      </c>
      <c r="C5" s="6">
        <f t="shared" si="1"/>
        <v>11.235</v>
      </c>
      <c r="D5" s="6">
        <f t="shared" si="2"/>
        <v>12.3585</v>
      </c>
      <c r="E5" s="7">
        <v>0.06</v>
      </c>
      <c r="F5" s="8">
        <f t="shared" si="3"/>
        <v>205.975</v>
      </c>
    </row>
    <row r="6">
      <c r="A6" s="4" t="s">
        <v>10</v>
      </c>
      <c r="B6" s="5">
        <v>14.5</v>
      </c>
      <c r="C6" s="6">
        <f t="shared" si="1"/>
        <v>15.515</v>
      </c>
      <c r="D6" s="6">
        <f t="shared" si="2"/>
        <v>17.0665</v>
      </c>
      <c r="E6" s="7">
        <v>0.08</v>
      </c>
      <c r="F6" s="8">
        <f t="shared" si="3"/>
        <v>213.33125</v>
      </c>
    </row>
    <row r="7">
      <c r="A7" s="4" t="s">
        <v>11</v>
      </c>
      <c r="B7" s="5">
        <v>3.25</v>
      </c>
      <c r="C7" s="6">
        <f t="shared" si="1"/>
        <v>3.4775</v>
      </c>
      <c r="D7" s="6">
        <f t="shared" si="2"/>
        <v>3.82525</v>
      </c>
      <c r="E7" s="7">
        <v>1.0</v>
      </c>
      <c r="F7" s="8">
        <f t="shared" si="3"/>
        <v>3.82525</v>
      </c>
    </row>
    <row r="8">
      <c r="A8" s="4" t="s">
        <v>12</v>
      </c>
      <c r="B8" s="5">
        <v>6.75</v>
      </c>
      <c r="C8" s="6">
        <f t="shared" si="1"/>
        <v>7.2225</v>
      </c>
      <c r="D8" s="6">
        <f t="shared" si="2"/>
        <v>7.94475</v>
      </c>
      <c r="E8" s="7">
        <v>1.0</v>
      </c>
      <c r="F8" s="8">
        <f t="shared" si="3"/>
        <v>7.94475</v>
      </c>
    </row>
    <row r="9">
      <c r="A9" s="4" t="s">
        <v>13</v>
      </c>
      <c r="B9" s="5">
        <v>18.75</v>
      </c>
      <c r="C9" s="6">
        <f t="shared" si="1"/>
        <v>20.0625</v>
      </c>
      <c r="D9" s="6">
        <f t="shared" si="2"/>
        <v>22.06875</v>
      </c>
      <c r="E9" s="7">
        <v>1.0</v>
      </c>
      <c r="F9" s="8">
        <f t="shared" si="3"/>
        <v>22.06875</v>
      </c>
    </row>
    <row r="10">
      <c r="A10" s="4" t="s">
        <v>14</v>
      </c>
      <c r="B10" s="5">
        <v>8.0</v>
      </c>
      <c r="C10" s="6">
        <f t="shared" si="1"/>
        <v>8.56</v>
      </c>
      <c r="D10" s="6">
        <f t="shared" si="2"/>
        <v>9.416</v>
      </c>
      <c r="E10" s="7">
        <v>1.0</v>
      </c>
      <c r="F10" s="8">
        <f t="shared" si="3"/>
        <v>9.416</v>
      </c>
    </row>
    <row r="11">
      <c r="A11" s="4" t="s">
        <v>15</v>
      </c>
      <c r="B11" s="5">
        <v>13.0</v>
      </c>
      <c r="C11" s="6">
        <f t="shared" si="1"/>
        <v>13.91</v>
      </c>
      <c r="D11" s="6">
        <f t="shared" si="2"/>
        <v>15.301</v>
      </c>
      <c r="E11" s="7">
        <v>1.0</v>
      </c>
      <c r="F11" s="8">
        <f t="shared" si="3"/>
        <v>15.301</v>
      </c>
    </row>
    <row r="12">
      <c r="A12" s="4" t="s">
        <v>16</v>
      </c>
      <c r="B12" s="5">
        <v>49.0</v>
      </c>
      <c r="C12" s="6">
        <f t="shared" si="1"/>
        <v>52.43</v>
      </c>
      <c r="D12" s="6">
        <f t="shared" si="2"/>
        <v>57.673</v>
      </c>
      <c r="E12" s="7">
        <v>1.0</v>
      </c>
      <c r="F12" s="8">
        <f t="shared" si="3"/>
        <v>57.673</v>
      </c>
    </row>
    <row r="13">
      <c r="A13" s="4" t="s">
        <v>17</v>
      </c>
      <c r="B13" s="5">
        <v>16.75</v>
      </c>
      <c r="C13" s="6">
        <f t="shared" si="1"/>
        <v>17.9225</v>
      </c>
      <c r="D13" s="6">
        <f t="shared" si="2"/>
        <v>19.71475</v>
      </c>
      <c r="E13" s="7">
        <v>1.0</v>
      </c>
      <c r="F13" s="8">
        <f t="shared" si="3"/>
        <v>19.71475</v>
      </c>
    </row>
    <row r="14">
      <c r="A14" s="4" t="s">
        <v>18</v>
      </c>
      <c r="B14" s="5">
        <v>56.5</v>
      </c>
      <c r="C14" s="6">
        <f t="shared" si="1"/>
        <v>60.455</v>
      </c>
      <c r="D14" s="6">
        <f t="shared" si="2"/>
        <v>66.5005</v>
      </c>
      <c r="E14" s="7">
        <v>1.0</v>
      </c>
      <c r="F14" s="8">
        <f t="shared" si="3"/>
        <v>66.5005</v>
      </c>
    </row>
    <row r="15">
      <c r="A15" s="4" t="s">
        <v>19</v>
      </c>
      <c r="B15" s="5">
        <v>18.5</v>
      </c>
      <c r="C15" s="6">
        <f t="shared" si="1"/>
        <v>19.795</v>
      </c>
      <c r="D15" s="6">
        <f t="shared" si="2"/>
        <v>21.7745</v>
      </c>
      <c r="E15" s="7">
        <v>1.0</v>
      </c>
      <c r="F15" s="8">
        <f t="shared" si="3"/>
        <v>21.7745</v>
      </c>
    </row>
    <row r="16">
      <c r="A16" s="4" t="s">
        <v>20</v>
      </c>
      <c r="B16" s="5">
        <v>43.99</v>
      </c>
      <c r="C16" s="6">
        <f t="shared" si="1"/>
        <v>47.0693</v>
      </c>
      <c r="D16" s="6">
        <f t="shared" si="2"/>
        <v>51.77623</v>
      </c>
      <c r="E16" s="7">
        <v>2.0</v>
      </c>
      <c r="F16" s="8">
        <f t="shared" si="3"/>
        <v>25.888115</v>
      </c>
    </row>
    <row r="17">
      <c r="A17" s="4" t="s">
        <v>21</v>
      </c>
      <c r="B17" s="5">
        <v>34.75</v>
      </c>
      <c r="C17" s="6">
        <f t="shared" si="1"/>
        <v>37.1825</v>
      </c>
      <c r="D17" s="6">
        <f t="shared" si="2"/>
        <v>40.90075</v>
      </c>
      <c r="E17" s="7">
        <v>2.0</v>
      </c>
      <c r="F17" s="8">
        <f t="shared" si="3"/>
        <v>20.450375</v>
      </c>
    </row>
    <row r="18">
      <c r="A18" s="4" t="s">
        <v>22</v>
      </c>
      <c r="B18" s="5">
        <v>28.5</v>
      </c>
      <c r="C18" s="6">
        <f t="shared" si="1"/>
        <v>30.495</v>
      </c>
      <c r="D18" s="6">
        <f t="shared" si="2"/>
        <v>33.5445</v>
      </c>
      <c r="E18" s="7">
        <v>2.0</v>
      </c>
      <c r="F18" s="8">
        <f t="shared" si="3"/>
        <v>16.77225</v>
      </c>
    </row>
    <row r="19">
      <c r="A19" s="4" t="s">
        <v>23</v>
      </c>
      <c r="B19" s="5">
        <v>49.99</v>
      </c>
      <c r="C19" s="6">
        <f t="shared" si="1"/>
        <v>53.4893</v>
      </c>
      <c r="D19" s="6">
        <f t="shared" si="2"/>
        <v>58.83823</v>
      </c>
      <c r="E19" s="7">
        <v>2.0</v>
      </c>
      <c r="F19" s="8">
        <f t="shared" si="3"/>
        <v>29.419115</v>
      </c>
    </row>
    <row r="20">
      <c r="A20" s="4" t="s">
        <v>24</v>
      </c>
      <c r="B20" s="5">
        <v>98.5</v>
      </c>
      <c r="C20" s="6">
        <f t="shared" si="1"/>
        <v>105.395</v>
      </c>
      <c r="D20" s="6">
        <f t="shared" si="2"/>
        <v>115.9345</v>
      </c>
      <c r="E20" s="7">
        <v>2.0</v>
      </c>
      <c r="F20" s="8">
        <f t="shared" si="3"/>
        <v>57.96725</v>
      </c>
    </row>
    <row r="21">
      <c r="A21" s="4" t="s">
        <v>25</v>
      </c>
      <c r="B21" s="5">
        <v>98.99</v>
      </c>
      <c r="C21" s="6">
        <f t="shared" si="1"/>
        <v>105.9193</v>
      </c>
      <c r="D21" s="6">
        <f t="shared" si="2"/>
        <v>116.51123</v>
      </c>
      <c r="E21" s="7">
        <v>2.0</v>
      </c>
      <c r="F21" s="8">
        <f t="shared" si="3"/>
        <v>58.255615</v>
      </c>
    </row>
    <row r="22">
      <c r="A22" s="4">
        <v>0.0</v>
      </c>
      <c r="B22" s="5">
        <v>119.99</v>
      </c>
      <c r="C22" s="6">
        <f t="shared" si="1"/>
        <v>128.3893</v>
      </c>
      <c r="D22" s="6">
        <f t="shared" si="2"/>
        <v>141.22823</v>
      </c>
      <c r="E22" s="7">
        <v>1.5</v>
      </c>
      <c r="F22" s="8">
        <f t="shared" si="3"/>
        <v>94.15215333</v>
      </c>
    </row>
    <row r="23">
      <c r="A23" s="4" t="s">
        <v>26</v>
      </c>
      <c r="B23" s="5">
        <v>76.5</v>
      </c>
      <c r="C23" s="6">
        <f t="shared" si="1"/>
        <v>81.855</v>
      </c>
      <c r="D23" s="6">
        <f t="shared" si="2"/>
        <v>90.0405</v>
      </c>
      <c r="E23" s="7">
        <v>10.0</v>
      </c>
      <c r="F23" s="8">
        <f t="shared" si="3"/>
        <v>9.00405</v>
      </c>
    </row>
    <row r="24">
      <c r="A24" s="4" t="s">
        <v>27</v>
      </c>
      <c r="B24" s="5">
        <v>10.5</v>
      </c>
      <c r="C24" s="6">
        <f t="shared" si="1"/>
        <v>11.235</v>
      </c>
      <c r="D24" s="6">
        <f t="shared" si="2"/>
        <v>12.3585</v>
      </c>
      <c r="E24" s="7">
        <v>1.0</v>
      </c>
      <c r="F24" s="8">
        <f t="shared" si="3"/>
        <v>12.3585</v>
      </c>
    </row>
    <row r="25">
      <c r="A25" s="4" t="s">
        <v>28</v>
      </c>
      <c r="B25" s="5">
        <v>46.5</v>
      </c>
      <c r="C25" s="6">
        <f t="shared" si="1"/>
        <v>49.755</v>
      </c>
      <c r="D25" s="6">
        <f t="shared" si="2"/>
        <v>54.7305</v>
      </c>
      <c r="E25" s="7">
        <v>1.0</v>
      </c>
      <c r="F25" s="8">
        <f t="shared" si="3"/>
        <v>54.7305</v>
      </c>
    </row>
    <row r="26">
      <c r="A26" s="4" t="s">
        <v>29</v>
      </c>
      <c r="B26" s="5">
        <v>31.5</v>
      </c>
      <c r="C26" s="6">
        <f t="shared" si="1"/>
        <v>33.705</v>
      </c>
      <c r="D26" s="6">
        <f t="shared" si="2"/>
        <v>37.0755</v>
      </c>
      <c r="E26" s="7">
        <v>7.0</v>
      </c>
      <c r="F26" s="8">
        <f t="shared" si="3"/>
        <v>5.2965</v>
      </c>
    </row>
    <row r="27">
      <c r="A27" s="4" t="s">
        <v>30</v>
      </c>
      <c r="B27" s="5">
        <v>37.99</v>
      </c>
      <c r="C27" s="6">
        <f t="shared" si="1"/>
        <v>40.6493</v>
      </c>
      <c r="D27" s="6">
        <f t="shared" si="2"/>
        <v>44.71423</v>
      </c>
      <c r="E27" s="7">
        <v>7.0</v>
      </c>
      <c r="F27" s="8">
        <f t="shared" si="3"/>
        <v>6.387747143</v>
      </c>
    </row>
    <row r="28">
      <c r="A28" s="4" t="s">
        <v>31</v>
      </c>
      <c r="B28" s="5">
        <v>135.92</v>
      </c>
      <c r="C28" s="6">
        <f t="shared" si="1"/>
        <v>145.4344</v>
      </c>
      <c r="D28" s="6">
        <f t="shared" si="2"/>
        <v>159.97784</v>
      </c>
      <c r="E28" s="7">
        <v>2.5</v>
      </c>
      <c r="F28" s="8">
        <f t="shared" si="3"/>
        <v>63.991136</v>
      </c>
    </row>
    <row r="29">
      <c r="A29" s="4" t="s">
        <v>32</v>
      </c>
      <c r="B29" s="5">
        <v>17.0</v>
      </c>
      <c r="C29" s="6">
        <f t="shared" si="1"/>
        <v>18.19</v>
      </c>
      <c r="D29" s="6">
        <f t="shared" si="2"/>
        <v>20.009</v>
      </c>
      <c r="E29" s="7">
        <v>1.25</v>
      </c>
      <c r="F29" s="8">
        <f t="shared" si="3"/>
        <v>16.0072</v>
      </c>
    </row>
    <row r="30">
      <c r="A30" s="4" t="s">
        <v>33</v>
      </c>
      <c r="B30" s="5">
        <v>20.0</v>
      </c>
      <c r="C30" s="6">
        <f t="shared" si="1"/>
        <v>21.4</v>
      </c>
      <c r="D30" s="6">
        <f t="shared" si="2"/>
        <v>23.54</v>
      </c>
      <c r="E30" s="7">
        <v>1.25</v>
      </c>
      <c r="F30" s="8">
        <f t="shared" si="3"/>
        <v>18.832</v>
      </c>
    </row>
    <row r="31">
      <c r="A31" s="4" t="s">
        <v>34</v>
      </c>
      <c r="B31" s="5">
        <v>21.0</v>
      </c>
      <c r="C31" s="6">
        <f t="shared" si="1"/>
        <v>22.47</v>
      </c>
      <c r="D31" s="6">
        <f t="shared" si="2"/>
        <v>24.717</v>
      </c>
      <c r="E31" s="7">
        <v>1.25</v>
      </c>
      <c r="F31" s="8">
        <f t="shared" si="3"/>
        <v>19.7736</v>
      </c>
    </row>
    <row r="32">
      <c r="A32" s="4" t="s">
        <v>35</v>
      </c>
      <c r="B32" s="5">
        <v>22.0</v>
      </c>
      <c r="C32" s="6">
        <f t="shared" si="1"/>
        <v>23.54</v>
      </c>
      <c r="D32" s="6">
        <f t="shared" si="2"/>
        <v>25.894</v>
      </c>
      <c r="E32" s="7">
        <v>1.25</v>
      </c>
      <c r="F32" s="8">
        <f t="shared" si="3"/>
        <v>20.7152</v>
      </c>
    </row>
    <row r="33">
      <c r="A33" s="4" t="s">
        <v>36</v>
      </c>
      <c r="B33" s="5">
        <v>29.99</v>
      </c>
      <c r="C33" s="6">
        <f t="shared" si="1"/>
        <v>32.0893</v>
      </c>
      <c r="D33" s="6">
        <f t="shared" si="2"/>
        <v>35.29823</v>
      </c>
      <c r="E33" s="7">
        <v>0.333</v>
      </c>
      <c r="F33" s="8">
        <f t="shared" si="3"/>
        <v>106.0006907</v>
      </c>
    </row>
    <row r="34">
      <c r="A34" s="4" t="s">
        <v>37</v>
      </c>
      <c r="B34" s="5">
        <v>34.99</v>
      </c>
      <c r="C34" s="6">
        <f t="shared" si="1"/>
        <v>37.4393</v>
      </c>
      <c r="D34" s="6">
        <f t="shared" si="2"/>
        <v>41.18323</v>
      </c>
      <c r="E34" s="7">
        <v>0.333</v>
      </c>
      <c r="F34" s="8">
        <f t="shared" si="3"/>
        <v>123.6733634</v>
      </c>
    </row>
    <row r="35">
      <c r="A35" s="4" t="s">
        <v>38</v>
      </c>
      <c r="B35" s="5">
        <v>40.0</v>
      </c>
      <c r="C35" s="6">
        <f t="shared" si="1"/>
        <v>42.8</v>
      </c>
      <c r="D35" s="6">
        <f t="shared" si="2"/>
        <v>47.08</v>
      </c>
      <c r="E35" s="7">
        <v>0.333</v>
      </c>
      <c r="F35" s="8">
        <f t="shared" si="3"/>
        <v>141.3813814</v>
      </c>
    </row>
    <row r="36">
      <c r="A36" s="4" t="s">
        <v>39</v>
      </c>
      <c r="B36" s="5">
        <v>141.99</v>
      </c>
      <c r="C36" s="6">
        <f t="shared" si="1"/>
        <v>151.9293</v>
      </c>
      <c r="D36" s="6">
        <f t="shared" si="2"/>
        <v>167.12223</v>
      </c>
      <c r="E36" s="7">
        <v>3.5</v>
      </c>
      <c r="F36" s="8">
        <f t="shared" si="3"/>
        <v>47.74920857</v>
      </c>
    </row>
    <row r="37">
      <c r="A37" s="4" t="s">
        <v>40</v>
      </c>
      <c r="B37" s="5">
        <v>15.0</v>
      </c>
      <c r="C37" s="6">
        <f t="shared" si="1"/>
        <v>16.05</v>
      </c>
      <c r="D37" s="6">
        <f t="shared" si="2"/>
        <v>17.655</v>
      </c>
      <c r="E37" s="7">
        <v>4.0</v>
      </c>
      <c r="F37" s="8">
        <f t="shared" si="3"/>
        <v>4.41375</v>
      </c>
    </row>
    <row r="38">
      <c r="A38" s="4" t="s">
        <v>41</v>
      </c>
      <c r="B38" s="5">
        <v>42.0</v>
      </c>
      <c r="C38" s="6">
        <f t="shared" si="1"/>
        <v>44.94</v>
      </c>
      <c r="D38" s="6">
        <f t="shared" si="2"/>
        <v>49.434</v>
      </c>
      <c r="E38" s="7">
        <v>4.0</v>
      </c>
      <c r="F38" s="8">
        <f t="shared" si="3"/>
        <v>12.3585</v>
      </c>
    </row>
    <row r="39">
      <c r="A39" s="4" t="s">
        <v>42</v>
      </c>
      <c r="B39" s="5">
        <v>40.0</v>
      </c>
      <c r="C39" s="6">
        <f t="shared" si="1"/>
        <v>42.8</v>
      </c>
      <c r="D39" s="6">
        <f t="shared" si="2"/>
        <v>47.08</v>
      </c>
      <c r="E39" s="7">
        <v>5.0</v>
      </c>
      <c r="F39" s="8">
        <f t="shared" si="3"/>
        <v>9.416</v>
      </c>
    </row>
    <row r="40">
      <c r="A40" s="4" t="s">
        <v>43</v>
      </c>
      <c r="B40" s="5">
        <v>92.99</v>
      </c>
      <c r="C40" s="6">
        <f t="shared" si="1"/>
        <v>99.4993</v>
      </c>
      <c r="D40" s="6">
        <f t="shared" si="2"/>
        <v>109.44923</v>
      </c>
      <c r="E40" s="7">
        <v>2.0</v>
      </c>
      <c r="F40" s="8">
        <f t="shared" si="3"/>
        <v>54.724615</v>
      </c>
    </row>
    <row r="41">
      <c r="A41" s="4" t="s">
        <v>44</v>
      </c>
      <c r="B41" s="5">
        <v>104.99</v>
      </c>
      <c r="C41" s="6">
        <f t="shared" si="1"/>
        <v>112.3393</v>
      </c>
      <c r="D41" s="6">
        <f t="shared" si="2"/>
        <v>123.57323</v>
      </c>
      <c r="E41" s="7">
        <v>2.0</v>
      </c>
      <c r="F41" s="8">
        <f t="shared" si="3"/>
        <v>61.786615</v>
      </c>
    </row>
    <row r="42">
      <c r="A42" s="4" t="s">
        <v>45</v>
      </c>
      <c r="B42" s="5">
        <v>103.99</v>
      </c>
      <c r="C42" s="6">
        <f t="shared" si="1"/>
        <v>111.2693</v>
      </c>
      <c r="D42" s="6">
        <f t="shared" si="2"/>
        <v>122.39623</v>
      </c>
      <c r="E42" s="7">
        <v>1.0</v>
      </c>
      <c r="F42" s="8">
        <f t="shared" si="3"/>
        <v>122.39623</v>
      </c>
    </row>
    <row r="43">
      <c r="A43" s="4" t="s">
        <v>46</v>
      </c>
      <c r="B43" s="5" t="s">
        <v>47</v>
      </c>
      <c r="C43" s="6" t="str">
        <f t="shared" si="1"/>
        <v>#VALUE!</v>
      </c>
      <c r="D43" s="6" t="str">
        <f t="shared" si="2"/>
        <v>#VALUE!</v>
      </c>
      <c r="E43" s="7">
        <v>1.5</v>
      </c>
      <c r="F43" s="8" t="str">
        <f t="shared" si="3"/>
        <v>#VALUE!</v>
      </c>
    </row>
    <row r="44">
      <c r="A44" s="4" t="s">
        <v>48</v>
      </c>
      <c r="B44" s="5">
        <v>132.17</v>
      </c>
      <c r="C44" s="6">
        <f t="shared" si="1"/>
        <v>141.4219</v>
      </c>
      <c r="D44" s="6">
        <f t="shared" si="2"/>
        <v>155.56409</v>
      </c>
      <c r="E44" s="7">
        <v>1.0</v>
      </c>
      <c r="F44" s="8">
        <f t="shared" si="3"/>
        <v>155.56409</v>
      </c>
    </row>
    <row r="45">
      <c r="A45" s="4" t="s">
        <v>49</v>
      </c>
      <c r="B45" s="5" t="s">
        <v>47</v>
      </c>
      <c r="C45" s="6" t="str">
        <f t="shared" si="1"/>
        <v>#VALUE!</v>
      </c>
      <c r="D45" s="6" t="str">
        <f t="shared" si="2"/>
        <v>#VALUE!</v>
      </c>
      <c r="E45" s="7">
        <v>1.0</v>
      </c>
      <c r="F45" s="8" t="str">
        <f t="shared" si="3"/>
        <v>#VALUE!</v>
      </c>
    </row>
    <row r="46">
      <c r="A46" s="4" t="s">
        <v>50</v>
      </c>
      <c r="B46" s="5">
        <v>13.5</v>
      </c>
      <c r="C46" s="6">
        <f t="shared" si="1"/>
        <v>14.445</v>
      </c>
      <c r="D46" s="6">
        <f t="shared" si="2"/>
        <v>15.8895</v>
      </c>
      <c r="E46" s="7">
        <v>0.16</v>
      </c>
      <c r="F46" s="8">
        <f t="shared" si="3"/>
        <v>99.309375</v>
      </c>
    </row>
    <row r="47">
      <c r="A47" s="4" t="s">
        <v>51</v>
      </c>
      <c r="B47" s="5">
        <v>17.0</v>
      </c>
      <c r="C47" s="6">
        <f t="shared" si="1"/>
        <v>18.19</v>
      </c>
      <c r="D47" s="6">
        <f t="shared" si="2"/>
        <v>20.009</v>
      </c>
      <c r="E47" s="7">
        <v>0.16</v>
      </c>
      <c r="F47" s="8">
        <f t="shared" si="3"/>
        <v>125.05625</v>
      </c>
    </row>
    <row r="48">
      <c r="A48" s="4" t="s">
        <v>52</v>
      </c>
      <c r="B48" s="5">
        <v>10.4</v>
      </c>
      <c r="C48" s="6">
        <f t="shared" si="1"/>
        <v>11.128</v>
      </c>
      <c r="D48" s="6">
        <f t="shared" si="2"/>
        <v>12.2408</v>
      </c>
      <c r="E48" s="7">
        <v>0.16</v>
      </c>
      <c r="F48" s="8">
        <f t="shared" si="3"/>
        <v>76.505</v>
      </c>
    </row>
    <row r="49">
      <c r="A49" s="4" t="s">
        <v>53</v>
      </c>
      <c r="B49" s="5">
        <v>13.2</v>
      </c>
      <c r="C49" s="6">
        <f t="shared" si="1"/>
        <v>14.124</v>
      </c>
      <c r="D49" s="6">
        <f t="shared" si="2"/>
        <v>15.5364</v>
      </c>
      <c r="E49" s="7">
        <v>0.16</v>
      </c>
      <c r="F49" s="8">
        <f t="shared" si="3"/>
        <v>97.1025</v>
      </c>
    </row>
    <row r="50">
      <c r="A50" s="4" t="s">
        <v>54</v>
      </c>
      <c r="B50" s="5">
        <v>17.6</v>
      </c>
      <c r="C50" s="6">
        <f t="shared" si="1"/>
        <v>18.832</v>
      </c>
      <c r="D50" s="6">
        <f t="shared" si="2"/>
        <v>20.7152</v>
      </c>
      <c r="E50" s="7">
        <v>0.16</v>
      </c>
      <c r="F50" s="8">
        <f t="shared" si="3"/>
        <v>129.47</v>
      </c>
    </row>
    <row r="51">
      <c r="A51" s="4" t="s">
        <v>55</v>
      </c>
      <c r="B51" s="5">
        <v>22.0</v>
      </c>
      <c r="C51" s="6">
        <f t="shared" si="1"/>
        <v>23.54</v>
      </c>
      <c r="D51" s="6">
        <f t="shared" si="2"/>
        <v>25.894</v>
      </c>
      <c r="E51" s="7">
        <v>0.16</v>
      </c>
      <c r="F51" s="8">
        <f t="shared" si="3"/>
        <v>161.8375</v>
      </c>
    </row>
    <row r="52">
      <c r="A52" s="4" t="s">
        <v>56</v>
      </c>
      <c r="B52" s="5">
        <v>29.99</v>
      </c>
      <c r="C52" s="6">
        <f t="shared" si="1"/>
        <v>32.0893</v>
      </c>
      <c r="D52" s="6">
        <f t="shared" si="2"/>
        <v>35.29823</v>
      </c>
      <c r="E52" s="7">
        <v>0.16</v>
      </c>
      <c r="F52" s="8">
        <f t="shared" si="3"/>
        <v>220.6139375</v>
      </c>
    </row>
    <row r="53">
      <c r="A53" s="4" t="s">
        <v>57</v>
      </c>
      <c r="B53" s="5">
        <v>1590.0</v>
      </c>
      <c r="C53" s="6">
        <f t="shared" si="1"/>
        <v>1701.3</v>
      </c>
      <c r="D53" s="6">
        <f t="shared" si="2"/>
        <v>1871.43</v>
      </c>
      <c r="E53" s="7">
        <v>25.0</v>
      </c>
      <c r="F53" s="8">
        <f t="shared" si="3"/>
        <v>74.8572</v>
      </c>
    </row>
    <row r="54">
      <c r="A54" s="4" t="s">
        <v>58</v>
      </c>
      <c r="B54" s="5">
        <v>83.99</v>
      </c>
      <c r="C54" s="6">
        <f t="shared" si="1"/>
        <v>89.8693</v>
      </c>
      <c r="D54" s="6">
        <f t="shared" si="2"/>
        <v>98.85623</v>
      </c>
      <c r="E54" s="9">
        <v>15.0</v>
      </c>
      <c r="F54" s="8">
        <f t="shared" si="3"/>
        <v>6.590415333</v>
      </c>
    </row>
    <row r="55">
      <c r="A55" s="4" t="s">
        <v>59</v>
      </c>
      <c r="B55" s="5">
        <v>100.99</v>
      </c>
      <c r="C55" s="6">
        <f t="shared" si="1"/>
        <v>108.0593</v>
      </c>
      <c r="D55" s="6">
        <f t="shared" si="2"/>
        <v>118.86523</v>
      </c>
      <c r="E55" s="9">
        <v>15.0</v>
      </c>
      <c r="F55" s="8">
        <f t="shared" si="3"/>
        <v>7.924348667</v>
      </c>
    </row>
    <row r="56">
      <c r="A56" s="4" t="s">
        <v>60</v>
      </c>
      <c r="B56" s="5">
        <v>121.99</v>
      </c>
      <c r="C56" s="6">
        <f t="shared" si="1"/>
        <v>130.5293</v>
      </c>
      <c r="D56" s="6">
        <f t="shared" si="2"/>
        <v>143.58223</v>
      </c>
      <c r="E56" s="9">
        <v>15.0</v>
      </c>
      <c r="F56" s="8">
        <f t="shared" si="3"/>
        <v>9.572148667</v>
      </c>
    </row>
    <row r="57">
      <c r="A57" s="4" t="s">
        <v>61</v>
      </c>
      <c r="B57" s="5">
        <v>170.99</v>
      </c>
      <c r="C57" s="6">
        <f t="shared" si="1"/>
        <v>182.9593</v>
      </c>
      <c r="D57" s="6">
        <f t="shared" si="2"/>
        <v>201.25523</v>
      </c>
      <c r="E57" s="9">
        <v>15.0</v>
      </c>
      <c r="F57" s="8">
        <f t="shared" si="3"/>
        <v>13.41701533</v>
      </c>
    </row>
    <row r="58">
      <c r="A58" s="4" t="s">
        <v>62</v>
      </c>
      <c r="B58" s="5">
        <v>198.99</v>
      </c>
      <c r="C58" s="6">
        <f t="shared" si="1"/>
        <v>212.9193</v>
      </c>
      <c r="D58" s="6">
        <f t="shared" si="2"/>
        <v>234.21123</v>
      </c>
      <c r="E58" s="9">
        <v>15.0</v>
      </c>
      <c r="F58" s="8">
        <f t="shared" si="3"/>
        <v>15.614082</v>
      </c>
    </row>
    <row r="59">
      <c r="A59" s="4" t="s">
        <v>63</v>
      </c>
      <c r="B59" s="5">
        <v>195.99</v>
      </c>
      <c r="C59" s="6">
        <f t="shared" si="1"/>
        <v>209.7093</v>
      </c>
      <c r="D59" s="6">
        <f t="shared" si="2"/>
        <v>230.68023</v>
      </c>
      <c r="E59" s="9">
        <v>15.0</v>
      </c>
      <c r="F59" s="8">
        <f t="shared" si="3"/>
        <v>15.378682</v>
      </c>
    </row>
    <row r="60">
      <c r="A60" s="4" t="s">
        <v>64</v>
      </c>
      <c r="B60" s="5">
        <v>206.99</v>
      </c>
      <c r="C60" s="6">
        <f t="shared" si="1"/>
        <v>221.4793</v>
      </c>
      <c r="D60" s="6">
        <f t="shared" si="2"/>
        <v>243.62723</v>
      </c>
      <c r="E60" s="9">
        <v>15.0</v>
      </c>
      <c r="F60" s="8">
        <f t="shared" si="3"/>
        <v>16.24181533</v>
      </c>
    </row>
    <row r="61">
      <c r="A61" s="4" t="s">
        <v>65</v>
      </c>
      <c r="B61" s="5">
        <v>218.99</v>
      </c>
      <c r="C61" s="6">
        <f t="shared" si="1"/>
        <v>234.3193</v>
      </c>
      <c r="D61" s="6">
        <f t="shared" si="2"/>
        <v>257.75123</v>
      </c>
      <c r="E61" s="9">
        <v>15.0</v>
      </c>
      <c r="F61" s="8">
        <f t="shared" si="3"/>
        <v>17.18341533</v>
      </c>
    </row>
    <row r="62">
      <c r="A62" s="4" t="s">
        <v>66</v>
      </c>
      <c r="B62" s="5">
        <v>179.99</v>
      </c>
      <c r="C62" s="6">
        <f t="shared" si="1"/>
        <v>192.5893</v>
      </c>
      <c r="D62" s="6">
        <f t="shared" si="2"/>
        <v>211.84823</v>
      </c>
      <c r="E62" s="9">
        <v>20.0</v>
      </c>
      <c r="F62" s="8">
        <f t="shared" si="3"/>
        <v>10.5924115</v>
      </c>
    </row>
    <row r="63">
      <c r="A63" s="4" t="s">
        <v>67</v>
      </c>
      <c r="B63" s="5">
        <v>204.99</v>
      </c>
      <c r="C63" s="6">
        <f t="shared" si="1"/>
        <v>219.3393</v>
      </c>
      <c r="D63" s="6">
        <f t="shared" si="2"/>
        <v>241.27323</v>
      </c>
      <c r="E63" s="9">
        <v>30.0</v>
      </c>
      <c r="F63" s="8">
        <f t="shared" si="3"/>
        <v>8.042441</v>
      </c>
    </row>
    <row r="64">
      <c r="A64" s="4" t="s">
        <v>68</v>
      </c>
      <c r="B64" s="5">
        <v>906.69</v>
      </c>
      <c r="C64" s="6">
        <f t="shared" si="1"/>
        <v>970.1583</v>
      </c>
      <c r="D64" s="6">
        <f t="shared" si="2"/>
        <v>1067.17413</v>
      </c>
      <c r="E64" s="7">
        <v>10.0</v>
      </c>
      <c r="F64" s="8">
        <f t="shared" si="3"/>
        <v>106.717413</v>
      </c>
    </row>
    <row r="65">
      <c r="A65" s="4" t="s">
        <v>69</v>
      </c>
      <c r="B65" s="5">
        <v>453.39</v>
      </c>
      <c r="C65" s="6">
        <f t="shared" si="1"/>
        <v>485.1273</v>
      </c>
      <c r="D65" s="6">
        <f t="shared" si="2"/>
        <v>533.64003</v>
      </c>
      <c r="E65" s="7">
        <v>5.0</v>
      </c>
      <c r="F65" s="8">
        <f t="shared" si="3"/>
        <v>106.728006</v>
      </c>
    </row>
    <row r="66">
      <c r="A66" s="4" t="s">
        <v>70</v>
      </c>
      <c r="B66" s="5">
        <v>330.0</v>
      </c>
      <c r="C66" s="6">
        <f t="shared" si="1"/>
        <v>353.1</v>
      </c>
      <c r="D66" s="6">
        <f t="shared" si="2"/>
        <v>388.41</v>
      </c>
      <c r="E66" s="7">
        <v>20.0</v>
      </c>
      <c r="F66" s="8">
        <f t="shared" si="3"/>
        <v>19.4205</v>
      </c>
    </row>
    <row r="67">
      <c r="A67" s="4" t="s">
        <v>71</v>
      </c>
      <c r="B67" s="5">
        <v>118.5</v>
      </c>
      <c r="C67" s="6">
        <f t="shared" si="1"/>
        <v>126.795</v>
      </c>
      <c r="D67" s="6">
        <f t="shared" si="2"/>
        <v>139.4745</v>
      </c>
      <c r="E67" s="9">
        <v>3.0</v>
      </c>
      <c r="F67" s="8">
        <f t="shared" si="3"/>
        <v>46.4915</v>
      </c>
    </row>
    <row r="68">
      <c r="A68" s="4" t="s">
        <v>72</v>
      </c>
      <c r="B68" s="5">
        <v>28.0</v>
      </c>
      <c r="C68" s="6">
        <f t="shared" si="1"/>
        <v>29.96</v>
      </c>
      <c r="D68" s="6">
        <f t="shared" si="2"/>
        <v>32.956</v>
      </c>
      <c r="E68" s="9">
        <v>20.0</v>
      </c>
      <c r="F68" s="8">
        <f t="shared" si="3"/>
        <v>1.6478</v>
      </c>
    </row>
    <row r="69">
      <c r="A69" s="4" t="s">
        <v>73</v>
      </c>
      <c r="B69" s="5">
        <v>47.0</v>
      </c>
      <c r="C69" s="6">
        <f t="shared" si="1"/>
        <v>50.29</v>
      </c>
      <c r="D69" s="6">
        <f t="shared" si="2"/>
        <v>55.319</v>
      </c>
      <c r="E69" s="9">
        <v>20.0</v>
      </c>
      <c r="F69" s="8">
        <f t="shared" si="3"/>
        <v>2.76595</v>
      </c>
    </row>
    <row r="70">
      <c r="A70" s="4" t="s">
        <v>74</v>
      </c>
      <c r="B70" s="5">
        <v>38.0</v>
      </c>
      <c r="C70" s="6">
        <f t="shared" si="1"/>
        <v>40.66</v>
      </c>
      <c r="D70" s="6">
        <f t="shared" si="2"/>
        <v>44.726</v>
      </c>
      <c r="E70" s="10">
        <v>1.0</v>
      </c>
      <c r="F70" s="8">
        <f t="shared" si="3"/>
        <v>44.726</v>
      </c>
    </row>
    <row r="71">
      <c r="A71" s="4" t="s">
        <v>75</v>
      </c>
      <c r="B71" s="5">
        <v>350.0</v>
      </c>
      <c r="C71" s="6">
        <f t="shared" si="1"/>
        <v>374.5</v>
      </c>
      <c r="D71" s="6">
        <f t="shared" si="2"/>
        <v>411.95</v>
      </c>
      <c r="E71" s="10">
        <v>20.0</v>
      </c>
      <c r="F71" s="8">
        <f t="shared" si="3"/>
        <v>20.5975</v>
      </c>
    </row>
    <row r="72">
      <c r="A72" s="4" t="s">
        <v>76</v>
      </c>
      <c r="B72" s="5">
        <v>237.5</v>
      </c>
      <c r="C72" s="6">
        <f t="shared" si="1"/>
        <v>254.125</v>
      </c>
      <c r="D72" s="6">
        <f t="shared" si="2"/>
        <v>279.5375</v>
      </c>
      <c r="E72" s="10">
        <v>75.0</v>
      </c>
      <c r="F72" s="8">
        <f t="shared" si="3"/>
        <v>3.727166667</v>
      </c>
    </row>
    <row r="73">
      <c r="A73" s="4" t="s">
        <v>77</v>
      </c>
      <c r="B73" s="5" t="s">
        <v>47</v>
      </c>
      <c r="C73" s="6" t="str">
        <f t="shared" si="1"/>
        <v>#VALUE!</v>
      </c>
      <c r="D73" s="6" t="str">
        <f t="shared" si="2"/>
        <v>#VALUE!</v>
      </c>
      <c r="E73" s="7">
        <v>5.0</v>
      </c>
      <c r="F73" s="8" t="str">
        <f t="shared" si="3"/>
        <v>#VALUE!</v>
      </c>
    </row>
    <row r="74">
      <c r="A74" s="4" t="s">
        <v>78</v>
      </c>
      <c r="B74" s="5">
        <v>279.0</v>
      </c>
      <c r="C74" s="6">
        <f t="shared" si="1"/>
        <v>298.53</v>
      </c>
      <c r="D74" s="6">
        <f t="shared" si="2"/>
        <v>328.383</v>
      </c>
      <c r="E74" s="7">
        <v>4.0</v>
      </c>
      <c r="F74" s="8">
        <f t="shared" si="3"/>
        <v>82.09575</v>
      </c>
    </row>
    <row r="75">
      <c r="A75" s="4" t="s">
        <v>79</v>
      </c>
      <c r="B75" s="5">
        <v>289.0</v>
      </c>
      <c r="C75" s="6">
        <f t="shared" si="1"/>
        <v>309.23</v>
      </c>
      <c r="D75" s="6">
        <f t="shared" si="2"/>
        <v>340.153</v>
      </c>
      <c r="E75" s="7">
        <v>4.0</v>
      </c>
      <c r="F75" s="8">
        <f t="shared" si="3"/>
        <v>85.03825</v>
      </c>
    </row>
    <row r="76">
      <c r="A76" s="4" t="s">
        <v>80</v>
      </c>
      <c r="B76" s="5">
        <v>271.0</v>
      </c>
      <c r="C76" s="6">
        <f t="shared" si="1"/>
        <v>289.97</v>
      </c>
      <c r="D76" s="6">
        <f t="shared" si="2"/>
        <v>318.967</v>
      </c>
      <c r="E76" s="7">
        <v>3.333</v>
      </c>
      <c r="F76" s="8">
        <f t="shared" si="3"/>
        <v>95.69966997</v>
      </c>
    </row>
    <row r="77">
      <c r="A77" s="4" t="s">
        <v>81</v>
      </c>
      <c r="B77" s="5">
        <v>271.0</v>
      </c>
      <c r="C77" s="6">
        <f t="shared" si="1"/>
        <v>289.97</v>
      </c>
      <c r="D77" s="6">
        <f t="shared" si="2"/>
        <v>318.967</v>
      </c>
      <c r="E77" s="7">
        <v>5.0</v>
      </c>
      <c r="F77" s="8">
        <f t="shared" si="3"/>
        <v>63.7934</v>
      </c>
    </row>
    <row r="78">
      <c r="A78" s="4" t="s">
        <v>82</v>
      </c>
      <c r="B78" s="5">
        <v>271.0</v>
      </c>
      <c r="C78" s="6">
        <f t="shared" si="1"/>
        <v>289.97</v>
      </c>
      <c r="D78" s="6">
        <f t="shared" si="2"/>
        <v>318.967</v>
      </c>
      <c r="E78" s="7">
        <v>6.667</v>
      </c>
      <c r="F78" s="8">
        <f t="shared" si="3"/>
        <v>47.84265787</v>
      </c>
    </row>
    <row r="79">
      <c r="A79" s="4" t="s">
        <v>83</v>
      </c>
      <c r="B79" s="5" t="s">
        <v>47</v>
      </c>
      <c r="C79" s="6" t="str">
        <f t="shared" si="1"/>
        <v>#VALUE!</v>
      </c>
      <c r="D79" s="6" t="str">
        <f t="shared" si="2"/>
        <v>#VALUE!</v>
      </c>
      <c r="E79" s="7">
        <v>7.5</v>
      </c>
      <c r="F79" s="8" t="str">
        <f t="shared" si="3"/>
        <v>#VALUE!</v>
      </c>
    </row>
    <row r="80">
      <c r="A80" s="4" t="s">
        <v>84</v>
      </c>
      <c r="B80" s="5" t="s">
        <v>47</v>
      </c>
      <c r="C80" s="6" t="str">
        <f t="shared" si="1"/>
        <v>#VALUE!</v>
      </c>
      <c r="D80" s="6" t="str">
        <f t="shared" si="2"/>
        <v>#VALUE!</v>
      </c>
      <c r="E80" s="7">
        <v>5.0</v>
      </c>
      <c r="F80" s="8" t="str">
        <f t="shared" si="3"/>
        <v>#VALUE!</v>
      </c>
    </row>
    <row r="81">
      <c r="A81" s="4" t="s">
        <v>85</v>
      </c>
      <c r="B81" s="5">
        <v>296.5</v>
      </c>
      <c r="C81" s="6">
        <f t="shared" si="1"/>
        <v>317.255</v>
      </c>
      <c r="D81" s="6">
        <f t="shared" si="2"/>
        <v>348.9805</v>
      </c>
      <c r="E81" s="7">
        <v>4.0</v>
      </c>
      <c r="F81" s="8">
        <f t="shared" si="3"/>
        <v>87.245125</v>
      </c>
    </row>
    <row r="82">
      <c r="A82" s="4" t="s">
        <v>86</v>
      </c>
      <c r="B82" s="5" t="s">
        <v>47</v>
      </c>
      <c r="C82" s="6" t="str">
        <f t="shared" si="1"/>
        <v>#VALUE!</v>
      </c>
      <c r="D82" s="6" t="str">
        <f t="shared" si="2"/>
        <v>#VALUE!</v>
      </c>
      <c r="E82" s="7">
        <v>10.0</v>
      </c>
      <c r="F82" s="8" t="str">
        <f t="shared" si="3"/>
        <v>#VALUE!</v>
      </c>
    </row>
    <row r="83">
      <c r="A83" s="4" t="s">
        <v>87</v>
      </c>
      <c r="B83" s="5">
        <v>162.0</v>
      </c>
      <c r="C83" s="6">
        <f t="shared" si="1"/>
        <v>173.34</v>
      </c>
      <c r="D83" s="6">
        <f t="shared" si="2"/>
        <v>190.674</v>
      </c>
      <c r="E83" s="7">
        <v>3.333</v>
      </c>
      <c r="F83" s="8">
        <f t="shared" si="3"/>
        <v>57.20792079</v>
      </c>
    </row>
    <row r="84">
      <c r="A84" s="4" t="s">
        <v>88</v>
      </c>
      <c r="B84" s="5">
        <v>2138.0</v>
      </c>
      <c r="C84" s="6">
        <f t="shared" si="1"/>
        <v>2287.66</v>
      </c>
      <c r="D84" s="6">
        <f t="shared" si="2"/>
        <v>2516.426</v>
      </c>
      <c r="E84" s="7">
        <v>32.47</v>
      </c>
      <c r="F84" s="8">
        <f t="shared" si="3"/>
        <v>77.5000308</v>
      </c>
    </row>
    <row r="85">
      <c r="A85" s="4" t="s">
        <v>89</v>
      </c>
      <c r="B85" s="5">
        <v>2138.0</v>
      </c>
      <c r="C85" s="6">
        <f t="shared" si="1"/>
        <v>2287.66</v>
      </c>
      <c r="D85" s="6">
        <f t="shared" si="2"/>
        <v>2516.426</v>
      </c>
      <c r="E85" s="7">
        <v>24.35</v>
      </c>
      <c r="F85" s="8">
        <f t="shared" si="3"/>
        <v>103.3439836</v>
      </c>
    </row>
    <row r="86">
      <c r="A86" s="4" t="s">
        <v>90</v>
      </c>
      <c r="B86" s="5" t="s">
        <v>47</v>
      </c>
      <c r="C86" s="6" t="str">
        <f t="shared" si="1"/>
        <v>#VALUE!</v>
      </c>
      <c r="D86" s="6" t="str">
        <f t="shared" si="2"/>
        <v>#VALUE!</v>
      </c>
      <c r="E86" s="7">
        <v>12.0</v>
      </c>
      <c r="F86" s="8" t="str">
        <f t="shared" si="3"/>
        <v>#VALUE!</v>
      </c>
    </row>
    <row r="87">
      <c r="A87" s="4" t="s">
        <v>91</v>
      </c>
      <c r="B87" s="5">
        <v>961.0</v>
      </c>
      <c r="C87" s="6">
        <f t="shared" si="1"/>
        <v>1028.27</v>
      </c>
      <c r="D87" s="6">
        <f t="shared" si="2"/>
        <v>1131.097</v>
      </c>
      <c r="E87" s="7">
        <v>10.0</v>
      </c>
      <c r="F87" s="8">
        <f t="shared" si="3"/>
        <v>113.1097</v>
      </c>
    </row>
    <row r="88">
      <c r="A88" s="4" t="s">
        <v>92</v>
      </c>
      <c r="B88" s="5">
        <v>540.69</v>
      </c>
      <c r="C88" s="6">
        <f t="shared" si="1"/>
        <v>578.5383</v>
      </c>
      <c r="D88" s="6">
        <f t="shared" si="2"/>
        <v>636.39213</v>
      </c>
      <c r="E88" s="7">
        <v>6.0</v>
      </c>
      <c r="F88" s="8">
        <f t="shared" si="3"/>
        <v>106.065355</v>
      </c>
    </row>
    <row r="89">
      <c r="A89" s="4" t="s">
        <v>93</v>
      </c>
      <c r="B89" s="5">
        <v>408.5</v>
      </c>
      <c r="C89" s="6">
        <f t="shared" si="1"/>
        <v>437.095</v>
      </c>
      <c r="D89" s="6">
        <f t="shared" si="2"/>
        <v>480.8045</v>
      </c>
      <c r="E89" s="7">
        <v>20.0</v>
      </c>
      <c r="F89" s="8">
        <f t="shared" si="3"/>
        <v>24.040225</v>
      </c>
    </row>
    <row r="90">
      <c r="A90" s="4" t="s">
        <v>94</v>
      </c>
      <c r="B90" s="5">
        <v>179.0</v>
      </c>
      <c r="C90" s="6">
        <f t="shared" si="1"/>
        <v>191.53</v>
      </c>
      <c r="D90" s="6">
        <f t="shared" si="2"/>
        <v>210.683</v>
      </c>
      <c r="E90" s="9">
        <v>3.0</v>
      </c>
      <c r="F90" s="8">
        <f t="shared" si="3"/>
        <v>70.22766667</v>
      </c>
    </row>
    <row r="91">
      <c r="A91" s="4" t="s">
        <v>95</v>
      </c>
      <c r="B91" s="5">
        <v>20.5</v>
      </c>
      <c r="C91" s="6">
        <f t="shared" si="1"/>
        <v>21.935</v>
      </c>
      <c r="D91" s="6">
        <f t="shared" si="2"/>
        <v>24.1285</v>
      </c>
      <c r="E91" s="9">
        <v>20.0</v>
      </c>
      <c r="F91" s="8">
        <f t="shared" si="3"/>
        <v>1.206425</v>
      </c>
    </row>
    <row r="92">
      <c r="A92" s="4" t="s">
        <v>96</v>
      </c>
      <c r="B92" s="5">
        <v>37.0</v>
      </c>
      <c r="C92" s="6">
        <f t="shared" si="1"/>
        <v>39.59</v>
      </c>
      <c r="D92" s="6">
        <f t="shared" si="2"/>
        <v>43.549</v>
      </c>
      <c r="E92" s="9">
        <v>20.0</v>
      </c>
      <c r="F92" s="8">
        <f t="shared" si="3"/>
        <v>2.17745</v>
      </c>
    </row>
    <row r="93">
      <c r="A93" s="4" t="s">
        <v>97</v>
      </c>
      <c r="B93" s="5">
        <v>41.5</v>
      </c>
      <c r="C93" s="6">
        <f t="shared" si="1"/>
        <v>44.405</v>
      </c>
      <c r="D93" s="6">
        <f t="shared" si="2"/>
        <v>48.8455</v>
      </c>
      <c r="E93" s="10">
        <v>1.0</v>
      </c>
      <c r="F93" s="8">
        <f t="shared" si="3"/>
        <v>48.8455</v>
      </c>
    </row>
    <row r="94">
      <c r="A94" s="4" t="s">
        <v>98</v>
      </c>
      <c r="B94" s="5">
        <v>199.0</v>
      </c>
      <c r="C94" s="6">
        <f t="shared" si="1"/>
        <v>212.93</v>
      </c>
      <c r="D94" s="6">
        <f t="shared" si="2"/>
        <v>234.223</v>
      </c>
      <c r="E94" s="10">
        <v>20.0</v>
      </c>
      <c r="F94" s="8">
        <f t="shared" si="3"/>
        <v>11.71115</v>
      </c>
    </row>
    <row r="95">
      <c r="A95" s="4" t="s">
        <v>99</v>
      </c>
      <c r="B95" s="11">
        <v>217.0</v>
      </c>
      <c r="C95" s="6">
        <f t="shared" si="1"/>
        <v>232.19</v>
      </c>
      <c r="D95" s="6">
        <f t="shared" si="2"/>
        <v>255.409</v>
      </c>
      <c r="E95" s="7">
        <v>7.0</v>
      </c>
      <c r="F95" s="8">
        <f t="shared" si="3"/>
        <v>36.487</v>
      </c>
    </row>
    <row r="96">
      <c r="A96" s="4" t="s">
        <v>100</v>
      </c>
      <c r="B96" s="5" t="s">
        <v>47</v>
      </c>
      <c r="C96" s="6" t="str">
        <f t="shared" si="1"/>
        <v>#VALUE!</v>
      </c>
      <c r="D96" s="6" t="str">
        <f t="shared" si="2"/>
        <v>#VALUE!</v>
      </c>
      <c r="E96" s="10">
        <v>75.0</v>
      </c>
      <c r="F96" s="8" t="str">
        <f t="shared" si="3"/>
        <v>#VALUE!</v>
      </c>
    </row>
    <row r="97">
      <c r="A97" s="12"/>
      <c r="B97" s="13"/>
      <c r="C97" s="6">
        <f t="shared" si="1"/>
        <v>0</v>
      </c>
      <c r="D97" s="6">
        <f t="shared" si="2"/>
        <v>0</v>
      </c>
      <c r="E97" s="7"/>
      <c r="F97" s="8" t="str">
        <f t="shared" si="3"/>
        <v>#DIV/0!</v>
      </c>
    </row>
    <row r="98">
      <c r="A98" s="12"/>
      <c r="B98" s="13"/>
      <c r="C98" s="6">
        <f t="shared" si="1"/>
        <v>0</v>
      </c>
      <c r="D98" s="6">
        <f t="shared" si="2"/>
        <v>0</v>
      </c>
      <c r="E98" s="7"/>
      <c r="F98" s="8" t="str">
        <f t="shared" si="3"/>
        <v>#DIV/0!</v>
      </c>
    </row>
    <row r="99">
      <c r="A99" s="12"/>
      <c r="B99" s="13"/>
      <c r="C99" s="6">
        <f t="shared" si="1"/>
        <v>0</v>
      </c>
      <c r="D99" s="6">
        <f t="shared" si="2"/>
        <v>0</v>
      </c>
      <c r="E99" s="7"/>
      <c r="F99" s="8" t="str">
        <f t="shared" si="3"/>
        <v>#DIV/0!</v>
      </c>
    </row>
    <row r="100">
      <c r="A100" s="12"/>
      <c r="B100" s="13"/>
      <c r="C100" s="6">
        <f t="shared" si="1"/>
        <v>0</v>
      </c>
      <c r="D100" s="6">
        <f t="shared" si="2"/>
        <v>0</v>
      </c>
      <c r="E100" s="7"/>
      <c r="F100" s="8" t="str">
        <f t="shared" si="3"/>
        <v>#DIV/0!</v>
      </c>
    </row>
    <row r="101">
      <c r="A101" s="12"/>
      <c r="B101" s="13"/>
      <c r="C101" s="6">
        <f t="shared" si="1"/>
        <v>0</v>
      </c>
      <c r="D101" s="6">
        <f t="shared" si="2"/>
        <v>0</v>
      </c>
      <c r="E101" s="7"/>
      <c r="F101" s="8" t="str">
        <f t="shared" si="3"/>
        <v>#DIV/0!</v>
      </c>
    </row>
    <row r="102">
      <c r="A102" s="12"/>
      <c r="B102" s="13"/>
      <c r="C102" s="6">
        <f t="shared" si="1"/>
        <v>0</v>
      </c>
      <c r="D102" s="6">
        <f t="shared" si="2"/>
        <v>0</v>
      </c>
      <c r="E102" s="7"/>
      <c r="F102" s="8" t="str">
        <f t="shared" si="3"/>
        <v>#DIV/0!</v>
      </c>
    </row>
    <row r="103">
      <c r="A103" s="12"/>
      <c r="B103" s="13"/>
      <c r="C103" s="6">
        <f t="shared" si="1"/>
        <v>0</v>
      </c>
      <c r="D103" s="6">
        <f t="shared" si="2"/>
        <v>0</v>
      </c>
      <c r="E103" s="7"/>
      <c r="F103" s="8" t="str">
        <f t="shared" si="3"/>
        <v>#DIV/0!</v>
      </c>
    </row>
    <row r="104">
      <c r="A104" s="12"/>
      <c r="B104" s="13"/>
      <c r="C104" s="6">
        <f t="shared" si="1"/>
        <v>0</v>
      </c>
      <c r="D104" s="6">
        <f t="shared" si="2"/>
        <v>0</v>
      </c>
      <c r="E104" s="7"/>
      <c r="F104" s="8" t="str">
        <f t="shared" si="3"/>
        <v>#DIV/0!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0.63"/>
    <col customWidth="1" min="5" max="5" width="15.75"/>
    <col customWidth="1" min="6" max="6" width="19.75"/>
  </cols>
  <sheetData>
    <row r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113" si="1">B2*1.07</f>
        <v>72.7493</v>
      </c>
      <c r="D2" s="6">
        <f t="shared" ref="D2:D113" si="2">C2*1.1</f>
        <v>80.02423</v>
      </c>
      <c r="E2" s="7">
        <v>12.5</v>
      </c>
      <c r="F2" s="8">
        <f t="shared" ref="F2:F113" si="3">D2/E2</f>
        <v>6.4019384</v>
      </c>
    </row>
    <row r="3">
      <c r="A3" s="4" t="s">
        <v>7</v>
      </c>
      <c r="B3" s="5">
        <v>95.0</v>
      </c>
      <c r="C3" s="6">
        <f t="shared" si="1"/>
        <v>101.65</v>
      </c>
      <c r="D3" s="6">
        <f t="shared" si="2"/>
        <v>111.815</v>
      </c>
      <c r="E3" s="7">
        <v>20.0</v>
      </c>
      <c r="F3" s="8">
        <f t="shared" si="3"/>
        <v>5.59075</v>
      </c>
    </row>
    <row r="4">
      <c r="A4" s="4" t="s">
        <v>8</v>
      </c>
      <c r="B4" s="5">
        <v>40.0</v>
      </c>
      <c r="C4" s="6">
        <f t="shared" si="1"/>
        <v>42.8</v>
      </c>
      <c r="D4" s="6">
        <f t="shared" si="2"/>
        <v>47.08</v>
      </c>
      <c r="E4" s="7">
        <v>0.32</v>
      </c>
      <c r="F4" s="8">
        <f t="shared" si="3"/>
        <v>147.125</v>
      </c>
    </row>
    <row r="5">
      <c r="A5" s="4" t="s">
        <v>9</v>
      </c>
      <c r="B5" s="5">
        <v>10.5</v>
      </c>
      <c r="C5" s="6">
        <f t="shared" si="1"/>
        <v>11.235</v>
      </c>
      <c r="D5" s="6">
        <f t="shared" si="2"/>
        <v>12.3585</v>
      </c>
      <c r="E5" s="7">
        <v>0.06</v>
      </c>
      <c r="F5" s="8">
        <f t="shared" si="3"/>
        <v>205.975</v>
      </c>
    </row>
    <row r="6">
      <c r="A6" s="4" t="s">
        <v>10</v>
      </c>
      <c r="B6" s="5">
        <v>14.5</v>
      </c>
      <c r="C6" s="6">
        <f t="shared" si="1"/>
        <v>15.515</v>
      </c>
      <c r="D6" s="6">
        <f t="shared" si="2"/>
        <v>17.0665</v>
      </c>
      <c r="E6" s="7">
        <v>0.08</v>
      </c>
      <c r="F6" s="8">
        <f t="shared" si="3"/>
        <v>213.33125</v>
      </c>
    </row>
    <row r="7">
      <c r="A7" s="4" t="s">
        <v>11</v>
      </c>
      <c r="B7" s="5">
        <v>3.25</v>
      </c>
      <c r="C7" s="6">
        <f t="shared" si="1"/>
        <v>3.4775</v>
      </c>
      <c r="D7" s="6">
        <f t="shared" si="2"/>
        <v>3.82525</v>
      </c>
      <c r="E7" s="7">
        <v>1.0</v>
      </c>
      <c r="F7" s="8">
        <f t="shared" si="3"/>
        <v>3.82525</v>
      </c>
    </row>
    <row r="8">
      <c r="A8" s="4" t="s">
        <v>12</v>
      </c>
      <c r="B8" s="5">
        <v>6.75</v>
      </c>
      <c r="C8" s="6">
        <f t="shared" si="1"/>
        <v>7.2225</v>
      </c>
      <c r="D8" s="6">
        <f t="shared" si="2"/>
        <v>7.94475</v>
      </c>
      <c r="E8" s="7">
        <v>1.0</v>
      </c>
      <c r="F8" s="8">
        <f t="shared" si="3"/>
        <v>7.94475</v>
      </c>
    </row>
    <row r="9">
      <c r="A9" s="4" t="s">
        <v>13</v>
      </c>
      <c r="B9" s="5">
        <v>18.75</v>
      </c>
      <c r="C9" s="6">
        <f t="shared" si="1"/>
        <v>20.0625</v>
      </c>
      <c r="D9" s="6">
        <f t="shared" si="2"/>
        <v>22.06875</v>
      </c>
      <c r="E9" s="7">
        <v>1.0</v>
      </c>
      <c r="F9" s="8">
        <f t="shared" si="3"/>
        <v>22.06875</v>
      </c>
    </row>
    <row r="10">
      <c r="A10" s="4" t="s">
        <v>14</v>
      </c>
      <c r="B10" s="5">
        <v>9.0</v>
      </c>
      <c r="C10" s="6">
        <f t="shared" si="1"/>
        <v>9.63</v>
      </c>
      <c r="D10" s="6">
        <f t="shared" si="2"/>
        <v>10.593</v>
      </c>
      <c r="E10" s="7">
        <v>1.0</v>
      </c>
      <c r="F10" s="8">
        <f t="shared" si="3"/>
        <v>10.593</v>
      </c>
    </row>
    <row r="11">
      <c r="A11" s="4" t="s">
        <v>15</v>
      </c>
      <c r="B11" s="5">
        <v>9.25</v>
      </c>
      <c r="C11" s="6">
        <f t="shared" si="1"/>
        <v>9.8975</v>
      </c>
      <c r="D11" s="6">
        <f t="shared" si="2"/>
        <v>10.88725</v>
      </c>
      <c r="E11" s="7">
        <v>1.0</v>
      </c>
      <c r="F11" s="8">
        <f t="shared" si="3"/>
        <v>10.88725</v>
      </c>
    </row>
    <row r="12">
      <c r="A12" s="4" t="s">
        <v>16</v>
      </c>
      <c r="B12" s="5" t="s">
        <v>102</v>
      </c>
      <c r="C12" s="6" t="str">
        <f t="shared" si="1"/>
        <v>#VALUE!</v>
      </c>
      <c r="D12" s="6" t="str">
        <f t="shared" si="2"/>
        <v>#VALUE!</v>
      </c>
      <c r="E12" s="7">
        <v>1.0</v>
      </c>
      <c r="F12" s="8" t="str">
        <f t="shared" si="3"/>
        <v>#VALUE!</v>
      </c>
    </row>
    <row r="13">
      <c r="A13" s="4" t="s">
        <v>19</v>
      </c>
      <c r="B13" s="5">
        <v>21.5</v>
      </c>
      <c r="C13" s="6">
        <f t="shared" si="1"/>
        <v>23.005</v>
      </c>
      <c r="D13" s="6">
        <f t="shared" si="2"/>
        <v>25.3055</v>
      </c>
      <c r="E13" s="7">
        <v>1.0</v>
      </c>
      <c r="F13" s="8">
        <f t="shared" si="3"/>
        <v>25.3055</v>
      </c>
    </row>
    <row r="14">
      <c r="A14" s="4" t="s">
        <v>103</v>
      </c>
      <c r="B14" s="5" t="s">
        <v>102</v>
      </c>
      <c r="C14" s="6" t="str">
        <f t="shared" si="1"/>
        <v>#VALUE!</v>
      </c>
      <c r="D14" s="6" t="str">
        <f t="shared" si="2"/>
        <v>#VALUE!</v>
      </c>
      <c r="E14" s="7">
        <v>1.0</v>
      </c>
      <c r="F14" s="8" t="str">
        <f t="shared" si="3"/>
        <v>#VALUE!</v>
      </c>
    </row>
    <row r="15">
      <c r="A15" s="4" t="s">
        <v>20</v>
      </c>
      <c r="B15" s="5">
        <v>43.99</v>
      </c>
      <c r="C15" s="6">
        <f t="shared" si="1"/>
        <v>47.0693</v>
      </c>
      <c r="D15" s="6">
        <f t="shared" si="2"/>
        <v>51.77623</v>
      </c>
      <c r="E15" s="7">
        <v>2.0</v>
      </c>
      <c r="F15" s="8">
        <f t="shared" si="3"/>
        <v>25.888115</v>
      </c>
    </row>
    <row r="16">
      <c r="A16" s="4" t="s">
        <v>21</v>
      </c>
      <c r="B16" s="5">
        <v>34.75</v>
      </c>
      <c r="C16" s="6">
        <f t="shared" si="1"/>
        <v>37.1825</v>
      </c>
      <c r="D16" s="6">
        <f t="shared" si="2"/>
        <v>40.90075</v>
      </c>
      <c r="E16" s="7">
        <v>2.0</v>
      </c>
      <c r="F16" s="8">
        <f t="shared" si="3"/>
        <v>20.450375</v>
      </c>
    </row>
    <row r="17">
      <c r="A17" s="4" t="s">
        <v>22</v>
      </c>
      <c r="B17" s="5">
        <v>29.5</v>
      </c>
      <c r="C17" s="6">
        <f t="shared" si="1"/>
        <v>31.565</v>
      </c>
      <c r="D17" s="6">
        <f t="shared" si="2"/>
        <v>34.7215</v>
      </c>
      <c r="E17" s="7">
        <v>2.0</v>
      </c>
      <c r="F17" s="8">
        <f t="shared" si="3"/>
        <v>17.36075</v>
      </c>
    </row>
    <row r="18">
      <c r="A18" s="4" t="s">
        <v>24</v>
      </c>
      <c r="B18" s="5">
        <v>97.5</v>
      </c>
      <c r="C18" s="6">
        <f t="shared" si="1"/>
        <v>104.325</v>
      </c>
      <c r="D18" s="6">
        <f t="shared" si="2"/>
        <v>114.7575</v>
      </c>
      <c r="E18" s="7">
        <v>2.0</v>
      </c>
      <c r="F18" s="8">
        <f t="shared" si="3"/>
        <v>57.37875</v>
      </c>
    </row>
    <row r="19">
      <c r="A19" s="4" t="s">
        <v>25</v>
      </c>
      <c r="B19" s="5">
        <v>97.5</v>
      </c>
      <c r="C19" s="6">
        <f t="shared" si="1"/>
        <v>104.325</v>
      </c>
      <c r="D19" s="6">
        <f t="shared" si="2"/>
        <v>114.7575</v>
      </c>
      <c r="E19" s="7">
        <v>2.0</v>
      </c>
      <c r="F19" s="8">
        <f t="shared" si="3"/>
        <v>57.37875</v>
      </c>
    </row>
    <row r="20">
      <c r="A20" s="4" t="s">
        <v>104</v>
      </c>
      <c r="B20" s="5">
        <v>123.8</v>
      </c>
      <c r="C20" s="6">
        <f t="shared" si="1"/>
        <v>132.466</v>
      </c>
      <c r="D20" s="6">
        <f t="shared" si="2"/>
        <v>145.7126</v>
      </c>
      <c r="E20" s="7">
        <v>1.5</v>
      </c>
      <c r="F20" s="8">
        <f t="shared" si="3"/>
        <v>97.14173333</v>
      </c>
    </row>
    <row r="21">
      <c r="A21" s="4" t="s">
        <v>26</v>
      </c>
      <c r="B21" s="5">
        <v>76.5</v>
      </c>
      <c r="C21" s="6">
        <f t="shared" si="1"/>
        <v>81.855</v>
      </c>
      <c r="D21" s="6">
        <f t="shared" si="2"/>
        <v>90.0405</v>
      </c>
      <c r="E21" s="7">
        <v>10.0</v>
      </c>
      <c r="F21" s="8">
        <f t="shared" si="3"/>
        <v>9.00405</v>
      </c>
    </row>
    <row r="22">
      <c r="A22" s="4" t="s">
        <v>27</v>
      </c>
      <c r="B22" s="5">
        <v>9.5</v>
      </c>
      <c r="C22" s="6">
        <f t="shared" si="1"/>
        <v>10.165</v>
      </c>
      <c r="D22" s="6">
        <f t="shared" si="2"/>
        <v>11.1815</v>
      </c>
      <c r="E22" s="7">
        <v>1.0</v>
      </c>
      <c r="F22" s="8">
        <f t="shared" si="3"/>
        <v>11.1815</v>
      </c>
    </row>
    <row r="23">
      <c r="A23" s="4" t="s">
        <v>28</v>
      </c>
      <c r="B23" s="5" t="s">
        <v>102</v>
      </c>
      <c r="C23" s="6" t="str">
        <f t="shared" si="1"/>
        <v>#VALUE!</v>
      </c>
      <c r="D23" s="6" t="str">
        <f t="shared" si="2"/>
        <v>#VALUE!</v>
      </c>
      <c r="E23" s="7">
        <v>1.0</v>
      </c>
      <c r="F23" s="8" t="str">
        <f t="shared" si="3"/>
        <v>#VALUE!</v>
      </c>
    </row>
    <row r="24">
      <c r="A24" s="4" t="s">
        <v>29</v>
      </c>
      <c r="B24" s="5">
        <v>38.0</v>
      </c>
      <c r="C24" s="6">
        <f t="shared" si="1"/>
        <v>40.66</v>
      </c>
      <c r="D24" s="6">
        <f t="shared" si="2"/>
        <v>44.726</v>
      </c>
      <c r="E24" s="7">
        <v>7.0</v>
      </c>
      <c r="F24" s="8">
        <f t="shared" si="3"/>
        <v>6.389428571</v>
      </c>
    </row>
    <row r="25">
      <c r="A25" s="4" t="s">
        <v>105</v>
      </c>
      <c r="B25" s="5">
        <v>41.99</v>
      </c>
      <c r="C25" s="6">
        <f t="shared" si="1"/>
        <v>44.9293</v>
      </c>
      <c r="D25" s="6">
        <f t="shared" si="2"/>
        <v>49.42223</v>
      </c>
      <c r="E25" s="7">
        <v>7.0</v>
      </c>
      <c r="F25" s="8">
        <f t="shared" si="3"/>
        <v>7.060318571</v>
      </c>
    </row>
    <row r="26">
      <c r="A26" s="4" t="s">
        <v>31</v>
      </c>
      <c r="B26" s="5">
        <v>139.0</v>
      </c>
      <c r="C26" s="6">
        <f t="shared" si="1"/>
        <v>148.73</v>
      </c>
      <c r="D26" s="6">
        <f t="shared" si="2"/>
        <v>163.603</v>
      </c>
      <c r="E26" s="7">
        <v>2.5</v>
      </c>
      <c r="F26" s="8">
        <f t="shared" si="3"/>
        <v>65.4412</v>
      </c>
    </row>
    <row r="27">
      <c r="A27" s="4" t="s">
        <v>32</v>
      </c>
      <c r="B27" s="5">
        <v>17.0</v>
      </c>
      <c r="C27" s="6">
        <f t="shared" si="1"/>
        <v>18.19</v>
      </c>
      <c r="D27" s="6">
        <f t="shared" si="2"/>
        <v>20.009</v>
      </c>
      <c r="E27" s="7">
        <v>1.25</v>
      </c>
      <c r="F27" s="8">
        <f t="shared" si="3"/>
        <v>16.0072</v>
      </c>
    </row>
    <row r="28">
      <c r="A28" s="4" t="s">
        <v>33</v>
      </c>
      <c r="B28" s="5">
        <v>17.5</v>
      </c>
      <c r="C28" s="6">
        <f t="shared" si="1"/>
        <v>18.725</v>
      </c>
      <c r="D28" s="6">
        <f t="shared" si="2"/>
        <v>20.5975</v>
      </c>
      <c r="E28" s="7">
        <v>1.25</v>
      </c>
      <c r="F28" s="8">
        <f t="shared" si="3"/>
        <v>16.478</v>
      </c>
    </row>
    <row r="29">
      <c r="A29" s="4" t="s">
        <v>34</v>
      </c>
      <c r="B29" s="5">
        <v>19.5</v>
      </c>
      <c r="C29" s="6">
        <f t="shared" si="1"/>
        <v>20.865</v>
      </c>
      <c r="D29" s="6">
        <f t="shared" si="2"/>
        <v>22.9515</v>
      </c>
      <c r="E29" s="7">
        <v>1.25</v>
      </c>
      <c r="F29" s="8">
        <f t="shared" si="3"/>
        <v>18.3612</v>
      </c>
    </row>
    <row r="30">
      <c r="A30" s="4" t="s">
        <v>35</v>
      </c>
      <c r="B30" s="5">
        <v>19.95</v>
      </c>
      <c r="C30" s="6">
        <f t="shared" si="1"/>
        <v>21.3465</v>
      </c>
      <c r="D30" s="6">
        <f t="shared" si="2"/>
        <v>23.48115</v>
      </c>
      <c r="E30" s="7">
        <v>1.25</v>
      </c>
      <c r="F30" s="8">
        <f t="shared" si="3"/>
        <v>18.78492</v>
      </c>
    </row>
    <row r="31">
      <c r="A31" s="4" t="s">
        <v>36</v>
      </c>
      <c r="B31" s="5">
        <v>27.99</v>
      </c>
      <c r="C31" s="6">
        <f t="shared" si="1"/>
        <v>29.9493</v>
      </c>
      <c r="D31" s="6">
        <f t="shared" si="2"/>
        <v>32.94423</v>
      </c>
      <c r="E31" s="7">
        <v>0.333</v>
      </c>
      <c r="F31" s="8">
        <f t="shared" si="3"/>
        <v>98.93162162</v>
      </c>
    </row>
    <row r="32">
      <c r="A32" s="4" t="s">
        <v>106</v>
      </c>
      <c r="B32" s="5">
        <v>32.7</v>
      </c>
      <c r="C32" s="6">
        <f t="shared" si="1"/>
        <v>34.989</v>
      </c>
      <c r="D32" s="6">
        <f t="shared" si="2"/>
        <v>38.4879</v>
      </c>
      <c r="E32" s="7">
        <v>0.333</v>
      </c>
      <c r="F32" s="8">
        <f t="shared" si="3"/>
        <v>115.5792793</v>
      </c>
    </row>
    <row r="33">
      <c r="A33" s="4" t="s">
        <v>38</v>
      </c>
      <c r="B33" s="5">
        <v>33.7</v>
      </c>
      <c r="C33" s="6">
        <f t="shared" si="1"/>
        <v>36.059</v>
      </c>
      <c r="D33" s="6">
        <f t="shared" si="2"/>
        <v>39.6649</v>
      </c>
      <c r="E33" s="7">
        <v>0.333</v>
      </c>
      <c r="F33" s="8">
        <f t="shared" si="3"/>
        <v>119.1138138</v>
      </c>
    </row>
    <row r="34">
      <c r="A34" s="4" t="s">
        <v>39</v>
      </c>
      <c r="B34" s="5">
        <v>165.25</v>
      </c>
      <c r="C34" s="6">
        <f t="shared" si="1"/>
        <v>176.8175</v>
      </c>
      <c r="D34" s="6">
        <f t="shared" si="2"/>
        <v>194.49925</v>
      </c>
      <c r="E34" s="7">
        <v>3.5</v>
      </c>
      <c r="F34" s="8">
        <f t="shared" si="3"/>
        <v>55.57121429</v>
      </c>
    </row>
    <row r="35">
      <c r="A35" s="4" t="s">
        <v>40</v>
      </c>
      <c r="B35" s="5">
        <v>15.0</v>
      </c>
      <c r="C35" s="6">
        <f t="shared" si="1"/>
        <v>16.05</v>
      </c>
      <c r="D35" s="6">
        <f t="shared" si="2"/>
        <v>17.655</v>
      </c>
      <c r="E35" s="7">
        <v>4.0</v>
      </c>
      <c r="F35" s="8">
        <f t="shared" si="3"/>
        <v>4.41375</v>
      </c>
    </row>
    <row r="36">
      <c r="A36" s="4" t="s">
        <v>107</v>
      </c>
      <c r="B36" s="5">
        <v>19.5</v>
      </c>
      <c r="C36" s="6">
        <f t="shared" si="1"/>
        <v>20.865</v>
      </c>
      <c r="D36" s="6">
        <f t="shared" si="2"/>
        <v>22.9515</v>
      </c>
      <c r="E36" s="7">
        <v>4.0</v>
      </c>
      <c r="F36" s="8">
        <f t="shared" si="3"/>
        <v>5.737875</v>
      </c>
    </row>
    <row r="37">
      <c r="A37" s="4" t="s">
        <v>108</v>
      </c>
      <c r="B37" s="5">
        <v>28.0</v>
      </c>
      <c r="C37" s="6">
        <f t="shared" si="1"/>
        <v>29.96</v>
      </c>
      <c r="D37" s="6">
        <f t="shared" si="2"/>
        <v>32.956</v>
      </c>
      <c r="E37" s="7">
        <v>4.0</v>
      </c>
      <c r="F37" s="8">
        <f t="shared" si="3"/>
        <v>8.239</v>
      </c>
    </row>
    <row r="38">
      <c r="A38" s="4" t="s">
        <v>41</v>
      </c>
      <c r="B38" s="5">
        <v>46.0</v>
      </c>
      <c r="C38" s="6">
        <f t="shared" si="1"/>
        <v>49.22</v>
      </c>
      <c r="D38" s="6">
        <f t="shared" si="2"/>
        <v>54.142</v>
      </c>
      <c r="E38" s="7">
        <v>4.0</v>
      </c>
      <c r="F38" s="8">
        <f t="shared" si="3"/>
        <v>13.5355</v>
      </c>
    </row>
    <row r="39">
      <c r="A39" s="4" t="s">
        <v>42</v>
      </c>
      <c r="B39" s="5">
        <v>42.99</v>
      </c>
      <c r="C39" s="6">
        <f t="shared" si="1"/>
        <v>45.9993</v>
      </c>
      <c r="D39" s="6">
        <f t="shared" si="2"/>
        <v>50.59923</v>
      </c>
      <c r="E39" s="7">
        <v>5.0</v>
      </c>
      <c r="F39" s="8">
        <f t="shared" si="3"/>
        <v>10.119846</v>
      </c>
    </row>
    <row r="40">
      <c r="A40" s="4" t="s">
        <v>43</v>
      </c>
      <c r="B40" s="5">
        <v>97.0</v>
      </c>
      <c r="C40" s="6">
        <f t="shared" si="1"/>
        <v>103.79</v>
      </c>
      <c r="D40" s="6">
        <f t="shared" si="2"/>
        <v>114.169</v>
      </c>
      <c r="E40" s="7">
        <v>2.0</v>
      </c>
      <c r="F40" s="8">
        <f t="shared" si="3"/>
        <v>57.0845</v>
      </c>
    </row>
    <row r="41">
      <c r="A41" s="4" t="s">
        <v>44</v>
      </c>
      <c r="B41" s="5">
        <v>111.0</v>
      </c>
      <c r="C41" s="6">
        <f t="shared" si="1"/>
        <v>118.77</v>
      </c>
      <c r="D41" s="6">
        <f t="shared" si="2"/>
        <v>130.647</v>
      </c>
      <c r="E41" s="7">
        <v>2.0</v>
      </c>
      <c r="F41" s="8">
        <f t="shared" si="3"/>
        <v>65.3235</v>
      </c>
    </row>
    <row r="42">
      <c r="A42" s="4" t="s">
        <v>45</v>
      </c>
      <c r="B42" s="5">
        <v>107.0</v>
      </c>
      <c r="C42" s="6">
        <f t="shared" si="1"/>
        <v>114.49</v>
      </c>
      <c r="D42" s="6">
        <f t="shared" si="2"/>
        <v>125.939</v>
      </c>
      <c r="E42" s="7">
        <v>1.0</v>
      </c>
      <c r="F42" s="8">
        <f t="shared" si="3"/>
        <v>125.939</v>
      </c>
    </row>
    <row r="43">
      <c r="A43" s="4" t="s">
        <v>46</v>
      </c>
      <c r="B43" s="5" t="s">
        <v>47</v>
      </c>
      <c r="C43" s="6" t="str">
        <f t="shared" si="1"/>
        <v>#VALUE!</v>
      </c>
      <c r="D43" s="6" t="str">
        <f t="shared" si="2"/>
        <v>#VALUE!</v>
      </c>
      <c r="E43" s="7">
        <v>1.5</v>
      </c>
      <c r="F43" s="8" t="str">
        <f t="shared" si="3"/>
        <v>#VALUE!</v>
      </c>
    </row>
    <row r="44">
      <c r="A44" s="4" t="s">
        <v>48</v>
      </c>
      <c r="B44" s="5" t="s">
        <v>47</v>
      </c>
      <c r="C44" s="6" t="str">
        <f t="shared" si="1"/>
        <v>#VALUE!</v>
      </c>
      <c r="D44" s="6" t="str">
        <f t="shared" si="2"/>
        <v>#VALUE!</v>
      </c>
      <c r="E44" s="7">
        <v>1.0</v>
      </c>
      <c r="F44" s="8" t="str">
        <f t="shared" si="3"/>
        <v>#VALUE!</v>
      </c>
    </row>
    <row r="45">
      <c r="A45" s="4" t="s">
        <v>49</v>
      </c>
      <c r="B45" s="5">
        <v>132.0</v>
      </c>
      <c r="C45" s="6">
        <f t="shared" si="1"/>
        <v>141.24</v>
      </c>
      <c r="D45" s="6">
        <f t="shared" si="2"/>
        <v>155.364</v>
      </c>
      <c r="E45" s="7">
        <v>1.0</v>
      </c>
      <c r="F45" s="8">
        <f t="shared" si="3"/>
        <v>155.364</v>
      </c>
    </row>
    <row r="46">
      <c r="A46" s="4" t="s">
        <v>50</v>
      </c>
      <c r="B46" s="5">
        <v>14.5</v>
      </c>
      <c r="C46" s="6">
        <f t="shared" si="1"/>
        <v>15.515</v>
      </c>
      <c r="D46" s="6">
        <f t="shared" si="2"/>
        <v>17.0665</v>
      </c>
      <c r="E46" s="7">
        <v>0.16</v>
      </c>
      <c r="F46" s="8">
        <f t="shared" si="3"/>
        <v>106.665625</v>
      </c>
    </row>
    <row r="47">
      <c r="A47" s="4" t="s">
        <v>51</v>
      </c>
      <c r="B47" s="5">
        <v>18.0</v>
      </c>
      <c r="C47" s="6">
        <f t="shared" si="1"/>
        <v>19.26</v>
      </c>
      <c r="D47" s="6">
        <f t="shared" si="2"/>
        <v>21.186</v>
      </c>
      <c r="E47" s="7">
        <v>0.16</v>
      </c>
      <c r="F47" s="8">
        <f t="shared" si="3"/>
        <v>132.4125</v>
      </c>
    </row>
    <row r="48">
      <c r="A48" s="4" t="s">
        <v>52</v>
      </c>
      <c r="B48" s="5" t="s">
        <v>47</v>
      </c>
      <c r="C48" s="6" t="str">
        <f t="shared" si="1"/>
        <v>#VALUE!</v>
      </c>
      <c r="D48" s="6" t="str">
        <f t="shared" si="2"/>
        <v>#VALUE!</v>
      </c>
      <c r="E48" s="7">
        <v>0.16</v>
      </c>
      <c r="F48" s="8" t="str">
        <f t="shared" si="3"/>
        <v>#VALUE!</v>
      </c>
    </row>
    <row r="49">
      <c r="A49" s="4" t="s">
        <v>53</v>
      </c>
      <c r="B49" s="5">
        <v>15.5</v>
      </c>
      <c r="C49" s="6">
        <f t="shared" si="1"/>
        <v>16.585</v>
      </c>
      <c r="D49" s="6">
        <f t="shared" si="2"/>
        <v>18.2435</v>
      </c>
      <c r="E49" s="7">
        <v>0.16</v>
      </c>
      <c r="F49" s="8">
        <f t="shared" si="3"/>
        <v>114.021875</v>
      </c>
    </row>
    <row r="50">
      <c r="A50" s="4" t="s">
        <v>54</v>
      </c>
      <c r="B50" s="5">
        <v>19.83</v>
      </c>
      <c r="C50" s="6">
        <f t="shared" si="1"/>
        <v>21.2181</v>
      </c>
      <c r="D50" s="6">
        <f t="shared" si="2"/>
        <v>23.33991</v>
      </c>
      <c r="E50" s="7">
        <v>0.16</v>
      </c>
      <c r="F50" s="8">
        <f t="shared" si="3"/>
        <v>145.8744375</v>
      </c>
    </row>
    <row r="51">
      <c r="A51" s="4" t="s">
        <v>55</v>
      </c>
      <c r="B51" s="5" t="s">
        <v>47</v>
      </c>
      <c r="C51" s="6" t="str">
        <f t="shared" si="1"/>
        <v>#VALUE!</v>
      </c>
      <c r="D51" s="6" t="str">
        <f t="shared" si="2"/>
        <v>#VALUE!</v>
      </c>
      <c r="E51" s="7">
        <v>0.16</v>
      </c>
      <c r="F51" s="8" t="str">
        <f t="shared" si="3"/>
        <v>#VALUE!</v>
      </c>
    </row>
    <row r="52">
      <c r="A52" s="4" t="s">
        <v>57</v>
      </c>
      <c r="B52" s="5">
        <v>1340.0</v>
      </c>
      <c r="C52" s="6">
        <f t="shared" si="1"/>
        <v>1433.8</v>
      </c>
      <c r="D52" s="6">
        <f t="shared" si="2"/>
        <v>1577.18</v>
      </c>
      <c r="E52" s="7">
        <v>25.0</v>
      </c>
      <c r="F52" s="8">
        <f t="shared" si="3"/>
        <v>63.0872</v>
      </c>
    </row>
    <row r="53">
      <c r="A53" s="4" t="s">
        <v>58</v>
      </c>
      <c r="B53" s="5" t="s">
        <v>47</v>
      </c>
      <c r="C53" s="6" t="str">
        <f t="shared" si="1"/>
        <v>#VALUE!</v>
      </c>
      <c r="D53" s="6" t="str">
        <f t="shared" si="2"/>
        <v>#VALUE!</v>
      </c>
      <c r="E53" s="9">
        <v>15.0</v>
      </c>
      <c r="F53" s="8" t="str">
        <f t="shared" si="3"/>
        <v>#VALUE!</v>
      </c>
    </row>
    <row r="54">
      <c r="A54" s="14" t="s">
        <v>59</v>
      </c>
      <c r="B54" s="15" t="s">
        <v>109</v>
      </c>
      <c r="C54" s="16" t="str">
        <f t="shared" si="1"/>
        <v>#VALUE!</v>
      </c>
      <c r="D54" s="16" t="str">
        <f t="shared" si="2"/>
        <v>#VALUE!</v>
      </c>
      <c r="E54" s="17">
        <v>15.0</v>
      </c>
      <c r="F54" s="18" t="str">
        <f t="shared" si="3"/>
        <v>#VALUE!</v>
      </c>
    </row>
    <row r="55">
      <c r="A55" s="4" t="s">
        <v>60</v>
      </c>
      <c r="B55" s="5" t="s">
        <v>47</v>
      </c>
      <c r="C55" s="6" t="str">
        <f t="shared" si="1"/>
        <v>#VALUE!</v>
      </c>
      <c r="D55" s="6" t="str">
        <f t="shared" si="2"/>
        <v>#VALUE!</v>
      </c>
      <c r="E55" s="9">
        <v>15.0</v>
      </c>
      <c r="F55" s="8" t="str">
        <f t="shared" si="3"/>
        <v>#VALUE!</v>
      </c>
    </row>
    <row r="56">
      <c r="A56" s="4" t="s">
        <v>61</v>
      </c>
      <c r="B56" s="5" t="s">
        <v>47</v>
      </c>
      <c r="C56" s="6" t="str">
        <f t="shared" si="1"/>
        <v>#VALUE!</v>
      </c>
      <c r="D56" s="6" t="str">
        <f t="shared" si="2"/>
        <v>#VALUE!</v>
      </c>
      <c r="E56" s="9">
        <v>15.0</v>
      </c>
      <c r="F56" s="8" t="str">
        <f t="shared" si="3"/>
        <v>#VALUE!</v>
      </c>
    </row>
    <row r="57">
      <c r="A57" s="4" t="s">
        <v>62</v>
      </c>
      <c r="B57" s="5" t="s">
        <v>47</v>
      </c>
      <c r="C57" s="6" t="str">
        <f t="shared" si="1"/>
        <v>#VALUE!</v>
      </c>
      <c r="D57" s="6" t="str">
        <f t="shared" si="2"/>
        <v>#VALUE!</v>
      </c>
      <c r="E57" s="9">
        <v>15.0</v>
      </c>
      <c r="F57" s="8" t="str">
        <f t="shared" si="3"/>
        <v>#VALUE!</v>
      </c>
    </row>
    <row r="58">
      <c r="A58" s="4" t="s">
        <v>63</v>
      </c>
      <c r="B58" s="5" t="s">
        <v>47</v>
      </c>
      <c r="C58" s="6" t="str">
        <f t="shared" si="1"/>
        <v>#VALUE!</v>
      </c>
      <c r="D58" s="6" t="str">
        <f t="shared" si="2"/>
        <v>#VALUE!</v>
      </c>
      <c r="E58" s="9">
        <v>15.0</v>
      </c>
      <c r="F58" s="8" t="str">
        <f t="shared" si="3"/>
        <v>#VALUE!</v>
      </c>
    </row>
    <row r="59">
      <c r="A59" s="4" t="s">
        <v>64</v>
      </c>
      <c r="B59" s="5" t="s">
        <v>47</v>
      </c>
      <c r="C59" s="6" t="str">
        <f t="shared" si="1"/>
        <v>#VALUE!</v>
      </c>
      <c r="D59" s="6" t="str">
        <f t="shared" si="2"/>
        <v>#VALUE!</v>
      </c>
      <c r="E59" s="9">
        <v>15.0</v>
      </c>
      <c r="F59" s="8" t="str">
        <f t="shared" si="3"/>
        <v>#VALUE!</v>
      </c>
    </row>
    <row r="60">
      <c r="A60" s="4" t="s">
        <v>65</v>
      </c>
      <c r="B60" s="5" t="s">
        <v>47</v>
      </c>
      <c r="C60" s="6" t="str">
        <f t="shared" si="1"/>
        <v>#VALUE!</v>
      </c>
      <c r="D60" s="6" t="str">
        <f t="shared" si="2"/>
        <v>#VALUE!</v>
      </c>
      <c r="E60" s="9">
        <v>15.0</v>
      </c>
      <c r="F60" s="8" t="str">
        <f t="shared" si="3"/>
        <v>#VALUE!</v>
      </c>
    </row>
    <row r="61">
      <c r="A61" s="4" t="s">
        <v>66</v>
      </c>
      <c r="B61" s="5">
        <v>192.0</v>
      </c>
      <c r="C61" s="6">
        <f t="shared" si="1"/>
        <v>205.44</v>
      </c>
      <c r="D61" s="6">
        <f t="shared" si="2"/>
        <v>225.984</v>
      </c>
      <c r="E61" s="9">
        <v>20.0</v>
      </c>
      <c r="F61" s="8">
        <f t="shared" si="3"/>
        <v>11.2992</v>
      </c>
    </row>
    <row r="62">
      <c r="A62" s="4" t="s">
        <v>67</v>
      </c>
      <c r="B62" s="5">
        <v>281.17</v>
      </c>
      <c r="C62" s="6">
        <f t="shared" si="1"/>
        <v>300.8519</v>
      </c>
      <c r="D62" s="6">
        <f t="shared" si="2"/>
        <v>330.93709</v>
      </c>
      <c r="E62" s="9">
        <v>30.0</v>
      </c>
      <c r="F62" s="8">
        <f t="shared" si="3"/>
        <v>11.03123633</v>
      </c>
    </row>
    <row r="63">
      <c r="A63" s="4" t="s">
        <v>68</v>
      </c>
      <c r="B63" s="5">
        <v>965.0</v>
      </c>
      <c r="C63" s="6">
        <f t="shared" si="1"/>
        <v>1032.55</v>
      </c>
      <c r="D63" s="6">
        <f t="shared" si="2"/>
        <v>1135.805</v>
      </c>
      <c r="E63" s="7">
        <v>10.0</v>
      </c>
      <c r="F63" s="8">
        <f t="shared" si="3"/>
        <v>113.5805</v>
      </c>
    </row>
    <row r="64">
      <c r="A64" s="4" t="s">
        <v>69</v>
      </c>
      <c r="B64" s="5">
        <v>449.99</v>
      </c>
      <c r="C64" s="6">
        <f t="shared" si="1"/>
        <v>481.4893</v>
      </c>
      <c r="D64" s="6">
        <f t="shared" si="2"/>
        <v>529.63823</v>
      </c>
      <c r="E64" s="7">
        <v>5.0</v>
      </c>
      <c r="F64" s="8">
        <f t="shared" si="3"/>
        <v>105.927646</v>
      </c>
    </row>
    <row r="65">
      <c r="A65" s="4" t="s">
        <v>110</v>
      </c>
      <c r="B65" s="5">
        <v>873.95</v>
      </c>
      <c r="C65" s="6">
        <f t="shared" si="1"/>
        <v>935.1265</v>
      </c>
      <c r="D65" s="6">
        <f t="shared" si="2"/>
        <v>1028.63915</v>
      </c>
      <c r="E65" s="7">
        <v>10.0</v>
      </c>
      <c r="F65" s="8">
        <f t="shared" si="3"/>
        <v>102.863915</v>
      </c>
    </row>
    <row r="66">
      <c r="A66" s="4" t="s">
        <v>70</v>
      </c>
      <c r="B66" s="5">
        <v>351.0</v>
      </c>
      <c r="C66" s="6">
        <f t="shared" si="1"/>
        <v>375.57</v>
      </c>
      <c r="D66" s="6">
        <f t="shared" si="2"/>
        <v>413.127</v>
      </c>
      <c r="E66" s="7">
        <v>20.0</v>
      </c>
      <c r="F66" s="8">
        <f t="shared" si="3"/>
        <v>20.65635</v>
      </c>
    </row>
    <row r="67">
      <c r="A67" s="4" t="s">
        <v>71</v>
      </c>
      <c r="B67" s="5">
        <v>154.0</v>
      </c>
      <c r="C67" s="6">
        <f t="shared" si="1"/>
        <v>164.78</v>
      </c>
      <c r="D67" s="6">
        <f t="shared" si="2"/>
        <v>181.258</v>
      </c>
      <c r="E67" s="9">
        <v>3.0</v>
      </c>
      <c r="F67" s="8">
        <f t="shared" si="3"/>
        <v>60.41933333</v>
      </c>
    </row>
    <row r="68">
      <c r="A68" s="4" t="s">
        <v>72</v>
      </c>
      <c r="B68" s="5">
        <v>28.0</v>
      </c>
      <c r="C68" s="6">
        <f t="shared" si="1"/>
        <v>29.96</v>
      </c>
      <c r="D68" s="6">
        <f t="shared" si="2"/>
        <v>32.956</v>
      </c>
      <c r="E68" s="9">
        <v>20.0</v>
      </c>
      <c r="F68" s="8">
        <f t="shared" si="3"/>
        <v>1.6478</v>
      </c>
    </row>
    <row r="69">
      <c r="A69" s="4" t="s">
        <v>73</v>
      </c>
      <c r="B69" s="5">
        <v>47.0</v>
      </c>
      <c r="C69" s="6">
        <f t="shared" si="1"/>
        <v>50.29</v>
      </c>
      <c r="D69" s="6">
        <f t="shared" si="2"/>
        <v>55.319</v>
      </c>
      <c r="E69" s="9">
        <v>20.0</v>
      </c>
      <c r="F69" s="8">
        <f t="shared" si="3"/>
        <v>2.76595</v>
      </c>
    </row>
    <row r="70">
      <c r="A70" s="4" t="s">
        <v>74</v>
      </c>
      <c r="B70" s="5">
        <v>38.0</v>
      </c>
      <c r="C70" s="6">
        <f t="shared" si="1"/>
        <v>40.66</v>
      </c>
      <c r="D70" s="6">
        <f t="shared" si="2"/>
        <v>44.726</v>
      </c>
      <c r="E70" s="10">
        <v>1.0</v>
      </c>
      <c r="F70" s="8">
        <f t="shared" si="3"/>
        <v>44.726</v>
      </c>
    </row>
    <row r="71">
      <c r="A71" s="4" t="s">
        <v>75</v>
      </c>
      <c r="B71" s="5">
        <v>350.0</v>
      </c>
      <c r="C71" s="6">
        <f t="shared" si="1"/>
        <v>374.5</v>
      </c>
      <c r="D71" s="6">
        <f t="shared" si="2"/>
        <v>411.95</v>
      </c>
      <c r="E71" s="10">
        <v>20.0</v>
      </c>
      <c r="F71" s="8">
        <f t="shared" si="3"/>
        <v>20.5975</v>
      </c>
    </row>
    <row r="72">
      <c r="A72" s="4" t="s">
        <v>76</v>
      </c>
      <c r="B72" s="5">
        <v>237.5</v>
      </c>
      <c r="C72" s="6">
        <f t="shared" si="1"/>
        <v>254.125</v>
      </c>
      <c r="D72" s="6">
        <f t="shared" si="2"/>
        <v>279.5375</v>
      </c>
      <c r="E72" s="10">
        <v>75.0</v>
      </c>
      <c r="F72" s="8">
        <f t="shared" si="3"/>
        <v>3.727166667</v>
      </c>
    </row>
    <row r="73">
      <c r="A73" s="4" t="s">
        <v>77</v>
      </c>
      <c r="B73" s="5" t="s">
        <v>47</v>
      </c>
      <c r="C73" s="6" t="str">
        <f t="shared" si="1"/>
        <v>#VALUE!</v>
      </c>
      <c r="D73" s="6" t="str">
        <f t="shared" si="2"/>
        <v>#VALUE!</v>
      </c>
      <c r="E73" s="7">
        <v>5.0</v>
      </c>
      <c r="F73" s="8" t="str">
        <f t="shared" si="3"/>
        <v>#VALUE!</v>
      </c>
    </row>
    <row r="74">
      <c r="A74" s="4" t="s">
        <v>78</v>
      </c>
      <c r="B74" s="5" t="s">
        <v>47</v>
      </c>
      <c r="C74" s="6" t="str">
        <f t="shared" si="1"/>
        <v>#VALUE!</v>
      </c>
      <c r="D74" s="6" t="str">
        <f t="shared" si="2"/>
        <v>#VALUE!</v>
      </c>
      <c r="E74" s="7">
        <v>4.0</v>
      </c>
      <c r="F74" s="8" t="str">
        <f t="shared" si="3"/>
        <v>#VALUE!</v>
      </c>
    </row>
    <row r="75">
      <c r="A75" s="4" t="s">
        <v>79</v>
      </c>
      <c r="B75" s="5">
        <v>303.0</v>
      </c>
      <c r="C75" s="6">
        <f t="shared" si="1"/>
        <v>324.21</v>
      </c>
      <c r="D75" s="6">
        <f t="shared" si="2"/>
        <v>356.631</v>
      </c>
      <c r="E75" s="7">
        <v>4.0</v>
      </c>
      <c r="F75" s="8">
        <f t="shared" si="3"/>
        <v>89.15775</v>
      </c>
    </row>
    <row r="76">
      <c r="A76" s="4" t="s">
        <v>111</v>
      </c>
      <c r="B76" s="5">
        <v>312.5</v>
      </c>
      <c r="C76" s="6">
        <f t="shared" si="1"/>
        <v>334.375</v>
      </c>
      <c r="D76" s="6">
        <f t="shared" si="2"/>
        <v>367.8125</v>
      </c>
      <c r="E76" s="7">
        <v>5.0</v>
      </c>
      <c r="F76" s="8">
        <f t="shared" si="3"/>
        <v>73.5625</v>
      </c>
    </row>
    <row r="77">
      <c r="A77" s="14" t="s">
        <v>112</v>
      </c>
      <c r="B77" s="15" t="s">
        <v>109</v>
      </c>
      <c r="C77" s="16" t="str">
        <f t="shared" si="1"/>
        <v>#VALUE!</v>
      </c>
      <c r="D77" s="16" t="str">
        <f t="shared" si="2"/>
        <v>#VALUE!</v>
      </c>
      <c r="E77" s="19">
        <v>5.0</v>
      </c>
      <c r="F77" s="18" t="str">
        <f t="shared" si="3"/>
        <v>#VALUE!</v>
      </c>
    </row>
    <row r="78">
      <c r="A78" s="14" t="s">
        <v>80</v>
      </c>
      <c r="B78" s="15" t="s">
        <v>109</v>
      </c>
      <c r="C78" s="16" t="str">
        <f t="shared" si="1"/>
        <v>#VALUE!</v>
      </c>
      <c r="D78" s="16" t="str">
        <f t="shared" si="2"/>
        <v>#VALUE!</v>
      </c>
      <c r="E78" s="19">
        <v>3.333</v>
      </c>
      <c r="F78" s="18" t="str">
        <f t="shared" si="3"/>
        <v>#VALUE!</v>
      </c>
    </row>
    <row r="79">
      <c r="A79" s="14" t="s">
        <v>81</v>
      </c>
      <c r="B79" s="15" t="s">
        <v>109</v>
      </c>
      <c r="C79" s="16" t="str">
        <f t="shared" si="1"/>
        <v>#VALUE!</v>
      </c>
      <c r="D79" s="16" t="str">
        <f t="shared" si="2"/>
        <v>#VALUE!</v>
      </c>
      <c r="E79" s="19">
        <v>5.0</v>
      </c>
      <c r="F79" s="18" t="str">
        <f t="shared" si="3"/>
        <v>#VALUE!</v>
      </c>
    </row>
    <row r="80">
      <c r="A80" s="4" t="s">
        <v>82</v>
      </c>
      <c r="B80" s="5">
        <v>205.0</v>
      </c>
      <c r="C80" s="6">
        <f t="shared" si="1"/>
        <v>219.35</v>
      </c>
      <c r="D80" s="6">
        <f t="shared" si="2"/>
        <v>241.285</v>
      </c>
      <c r="E80" s="7">
        <v>6.667</v>
      </c>
      <c r="F80" s="8">
        <f t="shared" si="3"/>
        <v>36.19094045</v>
      </c>
    </row>
    <row r="81">
      <c r="A81" s="14" t="s">
        <v>83</v>
      </c>
      <c r="B81" s="15" t="s">
        <v>109</v>
      </c>
      <c r="C81" s="16" t="str">
        <f t="shared" si="1"/>
        <v>#VALUE!</v>
      </c>
      <c r="D81" s="16" t="str">
        <f t="shared" si="2"/>
        <v>#VALUE!</v>
      </c>
      <c r="E81" s="19">
        <v>7.5</v>
      </c>
      <c r="F81" s="18" t="str">
        <f t="shared" si="3"/>
        <v>#VALUE!</v>
      </c>
    </row>
    <row r="82">
      <c r="A82" s="4" t="s">
        <v>84</v>
      </c>
      <c r="B82" s="5">
        <v>168.99</v>
      </c>
      <c r="C82" s="6">
        <f t="shared" si="1"/>
        <v>180.8193</v>
      </c>
      <c r="D82" s="6">
        <f t="shared" si="2"/>
        <v>198.90123</v>
      </c>
      <c r="E82" s="7">
        <v>5.0</v>
      </c>
      <c r="F82" s="8">
        <f t="shared" si="3"/>
        <v>39.780246</v>
      </c>
    </row>
    <row r="83">
      <c r="A83" s="4" t="s">
        <v>85</v>
      </c>
      <c r="B83" s="5">
        <v>296.5</v>
      </c>
      <c r="C83" s="6">
        <f t="shared" si="1"/>
        <v>317.255</v>
      </c>
      <c r="D83" s="6">
        <f t="shared" si="2"/>
        <v>348.9805</v>
      </c>
      <c r="E83" s="7">
        <v>4.0</v>
      </c>
      <c r="F83" s="8">
        <f t="shared" si="3"/>
        <v>87.245125</v>
      </c>
    </row>
    <row r="84">
      <c r="A84" s="14" t="s">
        <v>113</v>
      </c>
      <c r="B84" s="15" t="s">
        <v>109</v>
      </c>
      <c r="C84" s="16" t="str">
        <f t="shared" si="1"/>
        <v>#VALUE!</v>
      </c>
      <c r="D84" s="16" t="str">
        <f t="shared" si="2"/>
        <v>#VALUE!</v>
      </c>
      <c r="E84" s="19">
        <v>4.0</v>
      </c>
      <c r="F84" s="18" t="str">
        <f t="shared" si="3"/>
        <v>#VALUE!</v>
      </c>
    </row>
    <row r="85">
      <c r="A85" s="4" t="s">
        <v>86</v>
      </c>
      <c r="B85" s="5">
        <v>131.99</v>
      </c>
      <c r="C85" s="6">
        <f t="shared" si="1"/>
        <v>141.2293</v>
      </c>
      <c r="D85" s="6">
        <f t="shared" si="2"/>
        <v>155.35223</v>
      </c>
      <c r="E85" s="7">
        <v>10.0</v>
      </c>
      <c r="F85" s="8">
        <f t="shared" si="3"/>
        <v>15.535223</v>
      </c>
    </row>
    <row r="86">
      <c r="A86" s="4" t="s">
        <v>87</v>
      </c>
      <c r="B86" s="5">
        <v>171.5</v>
      </c>
      <c r="C86" s="6">
        <f t="shared" si="1"/>
        <v>183.505</v>
      </c>
      <c r="D86" s="6">
        <f t="shared" si="2"/>
        <v>201.8555</v>
      </c>
      <c r="E86" s="7">
        <v>3.333</v>
      </c>
      <c r="F86" s="8">
        <f t="shared" si="3"/>
        <v>60.56270627</v>
      </c>
    </row>
    <row r="87">
      <c r="A87" s="4" t="s">
        <v>88</v>
      </c>
      <c r="B87" s="5">
        <v>2459.0</v>
      </c>
      <c r="C87" s="6">
        <f t="shared" si="1"/>
        <v>2631.13</v>
      </c>
      <c r="D87" s="6">
        <f t="shared" si="2"/>
        <v>2894.243</v>
      </c>
      <c r="E87" s="7">
        <v>32.47</v>
      </c>
      <c r="F87" s="8">
        <f t="shared" si="3"/>
        <v>89.13591007</v>
      </c>
    </row>
    <row r="88">
      <c r="A88" s="4" t="s">
        <v>89</v>
      </c>
      <c r="B88" s="5">
        <v>2459.0</v>
      </c>
      <c r="C88" s="6">
        <f t="shared" si="1"/>
        <v>2631.13</v>
      </c>
      <c r="D88" s="6">
        <f t="shared" si="2"/>
        <v>2894.243</v>
      </c>
      <c r="E88" s="7">
        <v>24.35</v>
      </c>
      <c r="F88" s="8">
        <f t="shared" si="3"/>
        <v>118.8600821</v>
      </c>
    </row>
    <row r="89">
      <c r="A89" s="4" t="s">
        <v>90</v>
      </c>
      <c r="B89" s="5" t="s">
        <v>47</v>
      </c>
      <c r="C89" s="6" t="str">
        <f t="shared" si="1"/>
        <v>#VALUE!</v>
      </c>
      <c r="D89" s="6" t="str">
        <f t="shared" si="2"/>
        <v>#VALUE!</v>
      </c>
      <c r="E89" s="7">
        <v>12.0</v>
      </c>
      <c r="F89" s="8" t="str">
        <f t="shared" si="3"/>
        <v>#VALUE!</v>
      </c>
    </row>
    <row r="90">
      <c r="A90" s="4" t="s">
        <v>91</v>
      </c>
      <c r="B90" s="5">
        <v>961.0</v>
      </c>
      <c r="C90" s="6">
        <f t="shared" si="1"/>
        <v>1028.27</v>
      </c>
      <c r="D90" s="6">
        <f t="shared" si="2"/>
        <v>1131.097</v>
      </c>
      <c r="E90" s="7">
        <v>10.0</v>
      </c>
      <c r="F90" s="8">
        <f t="shared" si="3"/>
        <v>113.1097</v>
      </c>
    </row>
    <row r="91">
      <c r="A91" s="4" t="s">
        <v>92</v>
      </c>
      <c r="B91" s="5">
        <v>540.69</v>
      </c>
      <c r="C91" s="6">
        <f t="shared" si="1"/>
        <v>578.5383</v>
      </c>
      <c r="D91" s="6">
        <f t="shared" si="2"/>
        <v>636.39213</v>
      </c>
      <c r="E91" s="7">
        <v>6.0</v>
      </c>
      <c r="F91" s="8">
        <f t="shared" si="3"/>
        <v>106.065355</v>
      </c>
    </row>
    <row r="92">
      <c r="A92" s="4" t="s">
        <v>93</v>
      </c>
      <c r="B92" s="5">
        <v>408.5</v>
      </c>
      <c r="C92" s="6">
        <f t="shared" si="1"/>
        <v>437.095</v>
      </c>
      <c r="D92" s="6">
        <f t="shared" si="2"/>
        <v>480.8045</v>
      </c>
      <c r="E92" s="7">
        <v>20.0</v>
      </c>
      <c r="F92" s="8">
        <f t="shared" si="3"/>
        <v>24.040225</v>
      </c>
    </row>
    <row r="93">
      <c r="A93" s="4" t="s">
        <v>94</v>
      </c>
      <c r="B93" s="5">
        <v>179.0</v>
      </c>
      <c r="C93" s="6">
        <f t="shared" si="1"/>
        <v>191.53</v>
      </c>
      <c r="D93" s="6">
        <f t="shared" si="2"/>
        <v>210.683</v>
      </c>
      <c r="E93" s="9">
        <v>3.0</v>
      </c>
      <c r="F93" s="8">
        <f t="shared" si="3"/>
        <v>70.22766667</v>
      </c>
    </row>
    <row r="94">
      <c r="A94" s="4" t="s">
        <v>95</v>
      </c>
      <c r="B94" s="5">
        <v>20.5</v>
      </c>
      <c r="C94" s="6">
        <f t="shared" si="1"/>
        <v>21.935</v>
      </c>
      <c r="D94" s="6">
        <f t="shared" si="2"/>
        <v>24.1285</v>
      </c>
      <c r="E94" s="9">
        <v>20.0</v>
      </c>
      <c r="F94" s="8">
        <f t="shared" si="3"/>
        <v>1.206425</v>
      </c>
    </row>
    <row r="95">
      <c r="A95" s="4" t="s">
        <v>96</v>
      </c>
      <c r="B95" s="5">
        <v>37.0</v>
      </c>
      <c r="C95" s="6">
        <f t="shared" si="1"/>
        <v>39.59</v>
      </c>
      <c r="D95" s="6">
        <f t="shared" si="2"/>
        <v>43.549</v>
      </c>
      <c r="E95" s="9">
        <v>20.0</v>
      </c>
      <c r="F95" s="8">
        <f t="shared" si="3"/>
        <v>2.17745</v>
      </c>
    </row>
    <row r="96">
      <c r="A96" s="4" t="s">
        <v>97</v>
      </c>
      <c r="B96" s="5">
        <v>41.5</v>
      </c>
      <c r="C96" s="6">
        <f t="shared" si="1"/>
        <v>44.405</v>
      </c>
      <c r="D96" s="6">
        <f t="shared" si="2"/>
        <v>48.8455</v>
      </c>
      <c r="E96" s="10">
        <v>1.0</v>
      </c>
      <c r="F96" s="8">
        <f t="shared" si="3"/>
        <v>48.8455</v>
      </c>
    </row>
    <row r="97">
      <c r="A97" s="4" t="s">
        <v>98</v>
      </c>
      <c r="B97" s="5">
        <v>199.0</v>
      </c>
      <c r="C97" s="6">
        <f t="shared" si="1"/>
        <v>212.93</v>
      </c>
      <c r="D97" s="6">
        <f t="shared" si="2"/>
        <v>234.223</v>
      </c>
      <c r="E97" s="10">
        <v>20.0</v>
      </c>
      <c r="F97" s="8">
        <f t="shared" si="3"/>
        <v>11.71115</v>
      </c>
    </row>
    <row r="98">
      <c r="A98" s="4" t="s">
        <v>99</v>
      </c>
      <c r="B98" s="11">
        <v>217.0</v>
      </c>
      <c r="C98" s="6">
        <f t="shared" si="1"/>
        <v>232.19</v>
      </c>
      <c r="D98" s="6">
        <f t="shared" si="2"/>
        <v>255.409</v>
      </c>
      <c r="E98" s="7">
        <v>7.0</v>
      </c>
      <c r="F98" s="8">
        <f t="shared" si="3"/>
        <v>36.487</v>
      </c>
    </row>
    <row r="99">
      <c r="A99" s="4" t="s">
        <v>100</v>
      </c>
      <c r="B99" s="5" t="s">
        <v>47</v>
      </c>
      <c r="C99" s="6" t="str">
        <f t="shared" si="1"/>
        <v>#VALUE!</v>
      </c>
      <c r="D99" s="6" t="str">
        <f t="shared" si="2"/>
        <v>#VALUE!</v>
      </c>
      <c r="E99" s="10">
        <v>75.0</v>
      </c>
      <c r="F99" s="8" t="str">
        <f t="shared" si="3"/>
        <v>#VALUE!</v>
      </c>
    </row>
    <row r="100">
      <c r="A100" s="20" t="s">
        <v>114</v>
      </c>
      <c r="B100" s="21">
        <v>160.0</v>
      </c>
      <c r="C100" s="22">
        <f t="shared" si="1"/>
        <v>171.2</v>
      </c>
      <c r="D100" s="22">
        <f t="shared" si="2"/>
        <v>188.32</v>
      </c>
      <c r="E100" s="23">
        <v>15.0</v>
      </c>
      <c r="F100" s="24">
        <f t="shared" si="3"/>
        <v>12.55466667</v>
      </c>
    </row>
    <row r="101">
      <c r="A101" s="4" t="s">
        <v>115</v>
      </c>
      <c r="B101" s="25">
        <v>94.99</v>
      </c>
      <c r="C101" s="6">
        <f t="shared" si="1"/>
        <v>101.6393</v>
      </c>
      <c r="D101" s="6">
        <f t="shared" si="2"/>
        <v>111.80323</v>
      </c>
      <c r="E101" s="7">
        <v>2.0</v>
      </c>
      <c r="F101" s="8">
        <f t="shared" si="3"/>
        <v>55.901615</v>
      </c>
    </row>
    <row r="102">
      <c r="A102" s="4" t="s">
        <v>116</v>
      </c>
      <c r="B102" s="25">
        <v>92.99</v>
      </c>
      <c r="C102" s="6">
        <f t="shared" si="1"/>
        <v>99.4993</v>
      </c>
      <c r="D102" s="6">
        <f t="shared" si="2"/>
        <v>109.44923</v>
      </c>
      <c r="E102" s="7">
        <v>1.0</v>
      </c>
      <c r="F102" s="8">
        <f t="shared" si="3"/>
        <v>109.44923</v>
      </c>
    </row>
    <row r="103">
      <c r="A103" s="4" t="s">
        <v>117</v>
      </c>
      <c r="B103" s="13"/>
      <c r="C103" s="6">
        <f t="shared" si="1"/>
        <v>0</v>
      </c>
      <c r="D103" s="6">
        <f t="shared" si="2"/>
        <v>0</v>
      </c>
      <c r="E103" s="7">
        <v>13.0</v>
      </c>
      <c r="F103" s="8">
        <f t="shared" si="3"/>
        <v>0</v>
      </c>
    </row>
    <row r="104">
      <c r="A104" s="4" t="s">
        <v>118</v>
      </c>
      <c r="B104" s="11">
        <v>147.0</v>
      </c>
      <c r="C104" s="6">
        <f t="shared" si="1"/>
        <v>157.29</v>
      </c>
      <c r="D104" s="6">
        <f t="shared" si="2"/>
        <v>173.019</v>
      </c>
      <c r="E104" s="7">
        <v>7.5</v>
      </c>
      <c r="F104" s="8">
        <f t="shared" si="3"/>
        <v>23.0692</v>
      </c>
    </row>
    <row r="105">
      <c r="A105" s="4" t="s">
        <v>119</v>
      </c>
      <c r="B105" s="25">
        <v>37.44</v>
      </c>
      <c r="C105" s="6">
        <f t="shared" si="1"/>
        <v>40.0608</v>
      </c>
      <c r="D105" s="6">
        <f t="shared" si="2"/>
        <v>44.06688</v>
      </c>
      <c r="E105" s="7">
        <v>1.0</v>
      </c>
      <c r="F105" s="8">
        <f t="shared" si="3"/>
        <v>44.06688</v>
      </c>
    </row>
    <row r="106">
      <c r="A106" s="4" t="s">
        <v>120</v>
      </c>
      <c r="B106" s="11">
        <v>8.0</v>
      </c>
      <c r="C106" s="6">
        <f t="shared" si="1"/>
        <v>8.56</v>
      </c>
      <c r="D106" s="6">
        <f t="shared" si="2"/>
        <v>9.416</v>
      </c>
      <c r="E106" s="7">
        <v>1.0</v>
      </c>
      <c r="F106" s="8">
        <f t="shared" si="3"/>
        <v>9.416</v>
      </c>
    </row>
    <row r="107">
      <c r="A107" s="4" t="s">
        <v>121</v>
      </c>
      <c r="B107" s="11">
        <v>16.0</v>
      </c>
      <c r="C107" s="6">
        <f t="shared" si="1"/>
        <v>17.12</v>
      </c>
      <c r="D107" s="6">
        <f t="shared" si="2"/>
        <v>18.832</v>
      </c>
      <c r="E107" s="7">
        <v>1.0</v>
      </c>
      <c r="F107" s="8">
        <f t="shared" si="3"/>
        <v>18.832</v>
      </c>
    </row>
    <row r="108">
      <c r="A108" s="12"/>
      <c r="B108" s="13"/>
      <c r="C108" s="6">
        <f t="shared" si="1"/>
        <v>0</v>
      </c>
      <c r="D108" s="6">
        <f t="shared" si="2"/>
        <v>0</v>
      </c>
      <c r="E108" s="7"/>
      <c r="F108" s="8" t="str">
        <f t="shared" si="3"/>
        <v>#DIV/0!</v>
      </c>
    </row>
    <row r="109">
      <c r="A109" s="12"/>
      <c r="B109" s="13"/>
      <c r="C109" s="6">
        <f t="shared" si="1"/>
        <v>0</v>
      </c>
      <c r="D109" s="6">
        <f t="shared" si="2"/>
        <v>0</v>
      </c>
      <c r="E109" s="7"/>
      <c r="F109" s="8" t="str">
        <f t="shared" si="3"/>
        <v>#DIV/0!</v>
      </c>
    </row>
    <row r="110">
      <c r="A110" s="12"/>
      <c r="B110" s="13"/>
      <c r="C110" s="6">
        <f t="shared" si="1"/>
        <v>0</v>
      </c>
      <c r="D110" s="6">
        <f t="shared" si="2"/>
        <v>0</v>
      </c>
      <c r="E110" s="7"/>
      <c r="F110" s="8" t="str">
        <f t="shared" si="3"/>
        <v>#DIV/0!</v>
      </c>
    </row>
    <row r="111">
      <c r="A111" s="12"/>
      <c r="B111" s="13"/>
      <c r="C111" s="6">
        <f t="shared" si="1"/>
        <v>0</v>
      </c>
      <c r="D111" s="6">
        <f t="shared" si="2"/>
        <v>0</v>
      </c>
      <c r="E111" s="7"/>
      <c r="F111" s="8" t="str">
        <f t="shared" si="3"/>
        <v>#DIV/0!</v>
      </c>
    </row>
    <row r="112">
      <c r="A112" s="12"/>
      <c r="B112" s="13"/>
      <c r="C112" s="6">
        <f t="shared" si="1"/>
        <v>0</v>
      </c>
      <c r="D112" s="6">
        <f t="shared" si="2"/>
        <v>0</v>
      </c>
      <c r="E112" s="7"/>
      <c r="F112" s="8" t="str">
        <f t="shared" si="3"/>
        <v>#DIV/0!</v>
      </c>
    </row>
    <row r="113">
      <c r="A113" s="12"/>
      <c r="B113" s="13"/>
      <c r="C113" s="6">
        <f t="shared" si="1"/>
        <v>0</v>
      </c>
      <c r="D113" s="6">
        <f t="shared" si="2"/>
        <v>0</v>
      </c>
      <c r="E113" s="7"/>
      <c r="F113" s="8" t="str">
        <f t="shared" si="3"/>
        <v>#DIV/0!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63"/>
    <col customWidth="1" min="5" max="5" width="15.75"/>
    <col customWidth="1" min="6" max="6" width="19.75"/>
  </cols>
  <sheetData>
    <row r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115" si="1">B2*1.07</f>
        <v>72.7493</v>
      </c>
      <c r="D2" s="6">
        <f t="shared" ref="D2:D115" si="2">C2*1.1</f>
        <v>80.02423</v>
      </c>
      <c r="E2" s="7">
        <v>12.5</v>
      </c>
      <c r="F2" s="8">
        <f t="shared" ref="F2:F115" si="3">D2/E2</f>
        <v>6.4019384</v>
      </c>
    </row>
    <row r="3">
      <c r="A3" s="4" t="s">
        <v>7</v>
      </c>
      <c r="B3" s="5">
        <v>95.0</v>
      </c>
      <c r="C3" s="6">
        <f t="shared" si="1"/>
        <v>101.65</v>
      </c>
      <c r="D3" s="6">
        <f t="shared" si="2"/>
        <v>111.815</v>
      </c>
      <c r="E3" s="7">
        <v>20.0</v>
      </c>
      <c r="F3" s="8">
        <f t="shared" si="3"/>
        <v>5.59075</v>
      </c>
    </row>
    <row r="4">
      <c r="A4" s="4" t="s">
        <v>8</v>
      </c>
      <c r="B4" s="5">
        <v>40.0</v>
      </c>
      <c r="C4" s="6">
        <f t="shared" si="1"/>
        <v>42.8</v>
      </c>
      <c r="D4" s="6">
        <f t="shared" si="2"/>
        <v>47.08</v>
      </c>
      <c r="E4" s="7">
        <v>0.32</v>
      </c>
      <c r="F4" s="8">
        <f t="shared" si="3"/>
        <v>147.125</v>
      </c>
    </row>
    <row r="5">
      <c r="A5" s="4" t="s">
        <v>9</v>
      </c>
      <c r="B5" s="5">
        <v>10.5</v>
      </c>
      <c r="C5" s="6">
        <f t="shared" si="1"/>
        <v>11.235</v>
      </c>
      <c r="D5" s="6">
        <f t="shared" si="2"/>
        <v>12.3585</v>
      </c>
      <c r="E5" s="7">
        <v>0.06</v>
      </c>
      <c r="F5" s="8">
        <f t="shared" si="3"/>
        <v>205.975</v>
      </c>
    </row>
    <row r="6">
      <c r="A6" s="4" t="s">
        <v>10</v>
      </c>
      <c r="B6" s="5">
        <v>14.5</v>
      </c>
      <c r="C6" s="6">
        <f t="shared" si="1"/>
        <v>15.515</v>
      </c>
      <c r="D6" s="6">
        <f t="shared" si="2"/>
        <v>17.0665</v>
      </c>
      <c r="E6" s="7">
        <v>0.08</v>
      </c>
      <c r="F6" s="8">
        <f t="shared" si="3"/>
        <v>213.33125</v>
      </c>
    </row>
    <row r="7">
      <c r="A7" s="4" t="s">
        <v>11</v>
      </c>
      <c r="B7" s="5">
        <v>3.25</v>
      </c>
      <c r="C7" s="6">
        <f t="shared" si="1"/>
        <v>3.4775</v>
      </c>
      <c r="D7" s="6">
        <f t="shared" si="2"/>
        <v>3.82525</v>
      </c>
      <c r="E7" s="7">
        <v>1.0</v>
      </c>
      <c r="F7" s="8">
        <f t="shared" si="3"/>
        <v>3.82525</v>
      </c>
    </row>
    <row r="8">
      <c r="A8" s="4" t="s">
        <v>12</v>
      </c>
      <c r="B8" s="5">
        <v>6.75</v>
      </c>
      <c r="C8" s="6">
        <f t="shared" si="1"/>
        <v>7.2225</v>
      </c>
      <c r="D8" s="6">
        <f t="shared" si="2"/>
        <v>7.94475</v>
      </c>
      <c r="E8" s="7">
        <v>1.0</v>
      </c>
      <c r="F8" s="8">
        <f t="shared" si="3"/>
        <v>7.94475</v>
      </c>
    </row>
    <row r="9">
      <c r="A9" s="4" t="s">
        <v>13</v>
      </c>
      <c r="B9" s="5">
        <v>18.75</v>
      </c>
      <c r="C9" s="6">
        <f t="shared" si="1"/>
        <v>20.0625</v>
      </c>
      <c r="D9" s="6">
        <f t="shared" si="2"/>
        <v>22.06875</v>
      </c>
      <c r="E9" s="7">
        <v>1.0</v>
      </c>
      <c r="F9" s="8">
        <f t="shared" si="3"/>
        <v>22.06875</v>
      </c>
    </row>
    <row r="10">
      <c r="A10" s="4" t="s">
        <v>14</v>
      </c>
      <c r="B10" s="5">
        <v>9.0</v>
      </c>
      <c r="C10" s="6">
        <f t="shared" si="1"/>
        <v>9.63</v>
      </c>
      <c r="D10" s="6">
        <f t="shared" si="2"/>
        <v>10.593</v>
      </c>
      <c r="E10" s="7">
        <v>1.0</v>
      </c>
      <c r="F10" s="8">
        <f t="shared" si="3"/>
        <v>10.593</v>
      </c>
    </row>
    <row r="11">
      <c r="A11" s="4" t="s">
        <v>15</v>
      </c>
      <c r="B11" s="5">
        <v>9.25</v>
      </c>
      <c r="C11" s="6">
        <f t="shared" si="1"/>
        <v>9.8975</v>
      </c>
      <c r="D11" s="6">
        <f t="shared" si="2"/>
        <v>10.88725</v>
      </c>
      <c r="E11" s="7">
        <v>1.0</v>
      </c>
      <c r="F11" s="8">
        <f t="shared" si="3"/>
        <v>10.88725</v>
      </c>
    </row>
    <row r="12">
      <c r="A12" s="4" t="s">
        <v>16</v>
      </c>
      <c r="B12" s="5" t="s">
        <v>102</v>
      </c>
      <c r="C12" s="6" t="str">
        <f t="shared" si="1"/>
        <v>#VALUE!</v>
      </c>
      <c r="D12" s="6" t="str">
        <f t="shared" si="2"/>
        <v>#VALUE!</v>
      </c>
      <c r="E12" s="7">
        <v>1.0</v>
      </c>
      <c r="F12" s="8" t="str">
        <f t="shared" si="3"/>
        <v>#VALUE!</v>
      </c>
    </row>
    <row r="13">
      <c r="A13" s="4" t="s">
        <v>19</v>
      </c>
      <c r="B13" s="5">
        <v>21.5</v>
      </c>
      <c r="C13" s="6">
        <f t="shared" si="1"/>
        <v>23.005</v>
      </c>
      <c r="D13" s="6">
        <f t="shared" si="2"/>
        <v>25.3055</v>
      </c>
      <c r="E13" s="7">
        <v>1.0</v>
      </c>
      <c r="F13" s="8">
        <f t="shared" si="3"/>
        <v>25.3055</v>
      </c>
    </row>
    <row r="14">
      <c r="A14" s="4" t="s">
        <v>103</v>
      </c>
      <c r="B14" s="5" t="s">
        <v>102</v>
      </c>
      <c r="C14" s="6" t="str">
        <f t="shared" si="1"/>
        <v>#VALUE!</v>
      </c>
      <c r="D14" s="6" t="str">
        <f t="shared" si="2"/>
        <v>#VALUE!</v>
      </c>
      <c r="E14" s="7">
        <v>1.0</v>
      </c>
      <c r="F14" s="8" t="str">
        <f t="shared" si="3"/>
        <v>#VALUE!</v>
      </c>
    </row>
    <row r="15">
      <c r="A15" s="4" t="s">
        <v>20</v>
      </c>
      <c r="B15" s="5">
        <v>43.99</v>
      </c>
      <c r="C15" s="6">
        <f t="shared" si="1"/>
        <v>47.0693</v>
      </c>
      <c r="D15" s="6">
        <f t="shared" si="2"/>
        <v>51.77623</v>
      </c>
      <c r="E15" s="7">
        <v>2.0</v>
      </c>
      <c r="F15" s="8">
        <f t="shared" si="3"/>
        <v>25.888115</v>
      </c>
    </row>
    <row r="16">
      <c r="A16" s="4" t="s">
        <v>21</v>
      </c>
      <c r="B16" s="5">
        <v>34.75</v>
      </c>
      <c r="C16" s="6">
        <f t="shared" si="1"/>
        <v>37.1825</v>
      </c>
      <c r="D16" s="6">
        <f t="shared" si="2"/>
        <v>40.90075</v>
      </c>
      <c r="E16" s="7">
        <v>2.0</v>
      </c>
      <c r="F16" s="8">
        <f t="shared" si="3"/>
        <v>20.450375</v>
      </c>
    </row>
    <row r="17">
      <c r="A17" s="4" t="s">
        <v>22</v>
      </c>
      <c r="B17" s="5">
        <v>32.0</v>
      </c>
      <c r="C17" s="6">
        <f t="shared" si="1"/>
        <v>34.24</v>
      </c>
      <c r="D17" s="6">
        <f t="shared" si="2"/>
        <v>37.664</v>
      </c>
      <c r="E17" s="7">
        <v>2.0</v>
      </c>
      <c r="F17" s="8">
        <f t="shared" si="3"/>
        <v>18.832</v>
      </c>
    </row>
    <row r="18">
      <c r="A18" s="4" t="s">
        <v>122</v>
      </c>
      <c r="B18" s="5">
        <v>105.0</v>
      </c>
      <c r="C18" s="6">
        <f t="shared" si="1"/>
        <v>112.35</v>
      </c>
      <c r="D18" s="6">
        <f t="shared" si="2"/>
        <v>123.585</v>
      </c>
      <c r="E18" s="7">
        <v>2.0</v>
      </c>
      <c r="F18" s="8">
        <f t="shared" si="3"/>
        <v>61.7925</v>
      </c>
    </row>
    <row r="19">
      <c r="A19" s="4" t="s">
        <v>123</v>
      </c>
      <c r="B19" s="5">
        <v>96.5</v>
      </c>
      <c r="C19" s="6">
        <f t="shared" si="1"/>
        <v>103.255</v>
      </c>
      <c r="D19" s="6">
        <f t="shared" si="2"/>
        <v>113.5805</v>
      </c>
      <c r="E19" s="7">
        <v>2.0</v>
      </c>
      <c r="F19" s="8">
        <f t="shared" si="3"/>
        <v>56.79025</v>
      </c>
    </row>
    <row r="20">
      <c r="A20" s="4" t="s">
        <v>124</v>
      </c>
      <c r="B20" s="5">
        <v>97.5</v>
      </c>
      <c r="C20" s="6">
        <f t="shared" si="1"/>
        <v>104.325</v>
      </c>
      <c r="D20" s="6">
        <f t="shared" si="2"/>
        <v>114.7575</v>
      </c>
      <c r="E20" s="7">
        <v>2.0</v>
      </c>
      <c r="F20" s="8">
        <f t="shared" si="3"/>
        <v>57.37875</v>
      </c>
    </row>
    <row r="21">
      <c r="A21" s="4" t="s">
        <v>125</v>
      </c>
      <c r="B21" s="5">
        <v>123.8</v>
      </c>
      <c r="C21" s="6">
        <f t="shared" si="1"/>
        <v>132.466</v>
      </c>
      <c r="D21" s="6">
        <f t="shared" si="2"/>
        <v>145.7126</v>
      </c>
      <c r="E21" s="7">
        <v>1.5</v>
      </c>
      <c r="F21" s="8">
        <f t="shared" si="3"/>
        <v>97.14173333</v>
      </c>
    </row>
    <row r="22">
      <c r="A22" s="4" t="s">
        <v>26</v>
      </c>
      <c r="B22" s="5">
        <v>76.5</v>
      </c>
      <c r="C22" s="6">
        <f t="shared" si="1"/>
        <v>81.855</v>
      </c>
      <c r="D22" s="6">
        <f t="shared" si="2"/>
        <v>90.0405</v>
      </c>
      <c r="E22" s="7">
        <v>10.0</v>
      </c>
      <c r="F22" s="8">
        <f t="shared" si="3"/>
        <v>9.00405</v>
      </c>
    </row>
    <row r="23">
      <c r="A23" s="4" t="s">
        <v>27</v>
      </c>
      <c r="B23" s="5">
        <v>9.5</v>
      </c>
      <c r="C23" s="6">
        <f t="shared" si="1"/>
        <v>10.165</v>
      </c>
      <c r="D23" s="6">
        <f t="shared" si="2"/>
        <v>11.1815</v>
      </c>
      <c r="E23" s="7">
        <v>1.0</v>
      </c>
      <c r="F23" s="8">
        <f t="shared" si="3"/>
        <v>11.1815</v>
      </c>
    </row>
    <row r="24">
      <c r="A24" s="4" t="s">
        <v>28</v>
      </c>
      <c r="B24" s="5" t="s">
        <v>102</v>
      </c>
      <c r="C24" s="6" t="str">
        <f t="shared" si="1"/>
        <v>#VALUE!</v>
      </c>
      <c r="D24" s="6" t="str">
        <f t="shared" si="2"/>
        <v>#VALUE!</v>
      </c>
      <c r="E24" s="7">
        <v>1.0</v>
      </c>
      <c r="F24" s="8" t="str">
        <f t="shared" si="3"/>
        <v>#VALUE!</v>
      </c>
    </row>
    <row r="25">
      <c r="A25" s="4" t="s">
        <v>29</v>
      </c>
      <c r="B25" s="5">
        <v>38.0</v>
      </c>
      <c r="C25" s="6">
        <f t="shared" si="1"/>
        <v>40.66</v>
      </c>
      <c r="D25" s="6">
        <f t="shared" si="2"/>
        <v>44.726</v>
      </c>
      <c r="E25" s="7">
        <v>7.0</v>
      </c>
      <c r="F25" s="8">
        <f t="shared" si="3"/>
        <v>6.389428571</v>
      </c>
    </row>
    <row r="26">
      <c r="A26" s="4" t="s">
        <v>105</v>
      </c>
      <c r="B26" s="5">
        <v>41.99</v>
      </c>
      <c r="C26" s="6">
        <f t="shared" si="1"/>
        <v>44.9293</v>
      </c>
      <c r="D26" s="6">
        <f t="shared" si="2"/>
        <v>49.42223</v>
      </c>
      <c r="E26" s="7">
        <v>7.0</v>
      </c>
      <c r="F26" s="8">
        <f t="shared" si="3"/>
        <v>7.060318571</v>
      </c>
    </row>
    <row r="27">
      <c r="A27" s="4" t="s">
        <v>31</v>
      </c>
      <c r="B27" s="5">
        <v>139.0</v>
      </c>
      <c r="C27" s="6">
        <f t="shared" si="1"/>
        <v>148.73</v>
      </c>
      <c r="D27" s="6">
        <f t="shared" si="2"/>
        <v>163.603</v>
      </c>
      <c r="E27" s="7">
        <v>2.5</v>
      </c>
      <c r="F27" s="8">
        <f t="shared" si="3"/>
        <v>65.4412</v>
      </c>
    </row>
    <row r="28">
      <c r="A28" s="4" t="s">
        <v>32</v>
      </c>
      <c r="B28" s="5">
        <v>17.0</v>
      </c>
      <c r="C28" s="6">
        <f t="shared" si="1"/>
        <v>18.19</v>
      </c>
      <c r="D28" s="6">
        <f t="shared" si="2"/>
        <v>20.009</v>
      </c>
      <c r="E28" s="7">
        <v>1.25</v>
      </c>
      <c r="F28" s="8">
        <f t="shared" si="3"/>
        <v>16.0072</v>
      </c>
    </row>
    <row r="29">
      <c r="A29" s="4" t="s">
        <v>33</v>
      </c>
      <c r="B29" s="5">
        <v>17.5</v>
      </c>
      <c r="C29" s="6">
        <f t="shared" si="1"/>
        <v>18.725</v>
      </c>
      <c r="D29" s="6">
        <f t="shared" si="2"/>
        <v>20.5975</v>
      </c>
      <c r="E29" s="7">
        <v>1.25</v>
      </c>
      <c r="F29" s="8">
        <f t="shared" si="3"/>
        <v>16.478</v>
      </c>
    </row>
    <row r="30">
      <c r="A30" s="4" t="s">
        <v>34</v>
      </c>
      <c r="B30" s="5">
        <v>19.5</v>
      </c>
      <c r="C30" s="6">
        <f t="shared" si="1"/>
        <v>20.865</v>
      </c>
      <c r="D30" s="6">
        <f t="shared" si="2"/>
        <v>22.9515</v>
      </c>
      <c r="E30" s="7">
        <v>1.25</v>
      </c>
      <c r="F30" s="8">
        <f t="shared" si="3"/>
        <v>18.3612</v>
      </c>
    </row>
    <row r="31">
      <c r="A31" s="4" t="s">
        <v>35</v>
      </c>
      <c r="B31" s="5">
        <v>19.95</v>
      </c>
      <c r="C31" s="6">
        <f t="shared" si="1"/>
        <v>21.3465</v>
      </c>
      <c r="D31" s="6">
        <f t="shared" si="2"/>
        <v>23.48115</v>
      </c>
      <c r="E31" s="7">
        <v>1.25</v>
      </c>
      <c r="F31" s="8">
        <f t="shared" si="3"/>
        <v>18.78492</v>
      </c>
    </row>
    <row r="32">
      <c r="A32" s="4" t="s">
        <v>36</v>
      </c>
      <c r="B32" s="5">
        <v>27.99</v>
      </c>
      <c r="C32" s="6">
        <f t="shared" si="1"/>
        <v>29.9493</v>
      </c>
      <c r="D32" s="6">
        <f t="shared" si="2"/>
        <v>32.94423</v>
      </c>
      <c r="E32" s="7">
        <v>0.333</v>
      </c>
      <c r="F32" s="8">
        <f t="shared" si="3"/>
        <v>98.93162162</v>
      </c>
    </row>
    <row r="33">
      <c r="A33" s="4" t="s">
        <v>106</v>
      </c>
      <c r="B33" s="5">
        <v>32.67</v>
      </c>
      <c r="C33" s="6">
        <f t="shared" si="1"/>
        <v>34.9569</v>
      </c>
      <c r="D33" s="6">
        <f t="shared" si="2"/>
        <v>38.45259</v>
      </c>
      <c r="E33" s="7">
        <v>0.333</v>
      </c>
      <c r="F33" s="8">
        <f t="shared" si="3"/>
        <v>115.4732432</v>
      </c>
    </row>
    <row r="34">
      <c r="A34" s="4" t="s">
        <v>38</v>
      </c>
      <c r="B34" s="5">
        <v>33.7</v>
      </c>
      <c r="C34" s="6">
        <f t="shared" si="1"/>
        <v>36.059</v>
      </c>
      <c r="D34" s="6">
        <f t="shared" si="2"/>
        <v>39.6649</v>
      </c>
      <c r="E34" s="7">
        <v>0.333</v>
      </c>
      <c r="F34" s="8">
        <f t="shared" si="3"/>
        <v>119.1138138</v>
      </c>
    </row>
    <row r="35">
      <c r="A35" s="4" t="s">
        <v>39</v>
      </c>
      <c r="B35" s="5">
        <v>169.5</v>
      </c>
      <c r="C35" s="6">
        <f t="shared" si="1"/>
        <v>181.365</v>
      </c>
      <c r="D35" s="6">
        <f t="shared" si="2"/>
        <v>199.5015</v>
      </c>
      <c r="E35" s="7">
        <v>3.5</v>
      </c>
      <c r="F35" s="8">
        <f t="shared" si="3"/>
        <v>57.00042857</v>
      </c>
    </row>
    <row r="36">
      <c r="A36" s="4" t="s">
        <v>40</v>
      </c>
      <c r="B36" s="5">
        <v>15.0</v>
      </c>
      <c r="C36" s="6">
        <f t="shared" si="1"/>
        <v>16.05</v>
      </c>
      <c r="D36" s="6">
        <f t="shared" si="2"/>
        <v>17.655</v>
      </c>
      <c r="E36" s="7">
        <v>4.0</v>
      </c>
      <c r="F36" s="8">
        <f t="shared" si="3"/>
        <v>4.41375</v>
      </c>
    </row>
    <row r="37">
      <c r="A37" s="4" t="s">
        <v>107</v>
      </c>
      <c r="B37" s="5">
        <v>19.5</v>
      </c>
      <c r="C37" s="6">
        <f t="shared" si="1"/>
        <v>20.865</v>
      </c>
      <c r="D37" s="6">
        <f t="shared" si="2"/>
        <v>22.9515</v>
      </c>
      <c r="E37" s="7">
        <v>4.0</v>
      </c>
      <c r="F37" s="8">
        <f t="shared" si="3"/>
        <v>5.737875</v>
      </c>
    </row>
    <row r="38">
      <c r="A38" s="4" t="s">
        <v>108</v>
      </c>
      <c r="B38" s="5">
        <v>28.0</v>
      </c>
      <c r="C38" s="6">
        <f t="shared" si="1"/>
        <v>29.96</v>
      </c>
      <c r="D38" s="6">
        <f t="shared" si="2"/>
        <v>32.956</v>
      </c>
      <c r="E38" s="7">
        <v>4.0</v>
      </c>
      <c r="F38" s="8">
        <f t="shared" si="3"/>
        <v>8.239</v>
      </c>
    </row>
    <row r="39">
      <c r="A39" s="4" t="s">
        <v>41</v>
      </c>
      <c r="B39" s="5">
        <v>46.0</v>
      </c>
      <c r="C39" s="6">
        <f t="shared" si="1"/>
        <v>49.22</v>
      </c>
      <c r="D39" s="6">
        <f t="shared" si="2"/>
        <v>54.142</v>
      </c>
      <c r="E39" s="7">
        <v>4.0</v>
      </c>
      <c r="F39" s="8">
        <f t="shared" si="3"/>
        <v>13.5355</v>
      </c>
    </row>
    <row r="40">
      <c r="A40" s="4" t="s">
        <v>42</v>
      </c>
      <c r="B40" s="5">
        <v>42.99</v>
      </c>
      <c r="C40" s="6">
        <f t="shared" si="1"/>
        <v>45.9993</v>
      </c>
      <c r="D40" s="6">
        <f t="shared" si="2"/>
        <v>50.59923</v>
      </c>
      <c r="E40" s="7">
        <v>5.0</v>
      </c>
      <c r="F40" s="8">
        <f t="shared" si="3"/>
        <v>10.119846</v>
      </c>
    </row>
    <row r="41">
      <c r="A41" s="4" t="s">
        <v>43</v>
      </c>
      <c r="B41" s="5">
        <v>98.29</v>
      </c>
      <c r="C41" s="6">
        <f t="shared" si="1"/>
        <v>105.1703</v>
      </c>
      <c r="D41" s="6">
        <f t="shared" si="2"/>
        <v>115.68733</v>
      </c>
      <c r="E41" s="7">
        <v>2.0</v>
      </c>
      <c r="F41" s="8">
        <f t="shared" si="3"/>
        <v>57.843665</v>
      </c>
    </row>
    <row r="42">
      <c r="A42" s="4" t="s">
        <v>44</v>
      </c>
      <c r="B42" s="5">
        <v>108.91</v>
      </c>
      <c r="C42" s="6">
        <f t="shared" si="1"/>
        <v>116.5337</v>
      </c>
      <c r="D42" s="6">
        <f t="shared" si="2"/>
        <v>128.18707</v>
      </c>
      <c r="E42" s="7">
        <v>2.0</v>
      </c>
      <c r="F42" s="8">
        <f t="shared" si="3"/>
        <v>64.093535</v>
      </c>
    </row>
    <row r="43">
      <c r="A43" s="4" t="s">
        <v>45</v>
      </c>
      <c r="B43" s="5">
        <v>107.38</v>
      </c>
      <c r="C43" s="6">
        <f t="shared" si="1"/>
        <v>114.8966</v>
      </c>
      <c r="D43" s="6">
        <f t="shared" si="2"/>
        <v>126.38626</v>
      </c>
      <c r="E43" s="7">
        <v>1.0</v>
      </c>
      <c r="F43" s="8">
        <f t="shared" si="3"/>
        <v>126.38626</v>
      </c>
    </row>
    <row r="44">
      <c r="A44" s="4" t="s">
        <v>46</v>
      </c>
      <c r="B44" s="5">
        <v>114.2</v>
      </c>
      <c r="C44" s="6">
        <f t="shared" si="1"/>
        <v>122.194</v>
      </c>
      <c r="D44" s="6">
        <f t="shared" si="2"/>
        <v>134.4134</v>
      </c>
      <c r="E44" s="7">
        <v>1.5</v>
      </c>
      <c r="F44" s="8">
        <f t="shared" si="3"/>
        <v>89.60893333</v>
      </c>
    </row>
    <row r="45">
      <c r="A45" s="4" t="s">
        <v>48</v>
      </c>
      <c r="B45" s="5" t="s">
        <v>47</v>
      </c>
      <c r="C45" s="6" t="str">
        <f t="shared" si="1"/>
        <v>#VALUE!</v>
      </c>
      <c r="D45" s="6" t="str">
        <f t="shared" si="2"/>
        <v>#VALUE!</v>
      </c>
      <c r="E45" s="7">
        <v>1.0</v>
      </c>
      <c r="F45" s="8" t="str">
        <f t="shared" si="3"/>
        <v>#VALUE!</v>
      </c>
    </row>
    <row r="46">
      <c r="A46" s="4" t="s">
        <v>49</v>
      </c>
      <c r="B46" s="5">
        <v>132.0</v>
      </c>
      <c r="C46" s="6">
        <f t="shared" si="1"/>
        <v>141.24</v>
      </c>
      <c r="D46" s="6">
        <f t="shared" si="2"/>
        <v>155.364</v>
      </c>
      <c r="E46" s="7">
        <v>1.0</v>
      </c>
      <c r="F46" s="8">
        <f t="shared" si="3"/>
        <v>155.364</v>
      </c>
    </row>
    <row r="47">
      <c r="A47" s="4" t="s">
        <v>50</v>
      </c>
      <c r="B47" s="5">
        <v>14.5</v>
      </c>
      <c r="C47" s="6">
        <f t="shared" si="1"/>
        <v>15.515</v>
      </c>
      <c r="D47" s="6">
        <f t="shared" si="2"/>
        <v>17.0665</v>
      </c>
      <c r="E47" s="7">
        <v>0.16</v>
      </c>
      <c r="F47" s="8">
        <f t="shared" si="3"/>
        <v>106.665625</v>
      </c>
    </row>
    <row r="48">
      <c r="A48" s="4" t="s">
        <v>51</v>
      </c>
      <c r="B48" s="5">
        <v>18.0</v>
      </c>
      <c r="C48" s="6">
        <f t="shared" si="1"/>
        <v>19.26</v>
      </c>
      <c r="D48" s="6">
        <f t="shared" si="2"/>
        <v>21.186</v>
      </c>
      <c r="E48" s="7">
        <v>0.16</v>
      </c>
      <c r="F48" s="8">
        <f t="shared" si="3"/>
        <v>132.4125</v>
      </c>
    </row>
    <row r="49">
      <c r="A49" s="4" t="s">
        <v>52</v>
      </c>
      <c r="B49" s="5" t="s">
        <v>47</v>
      </c>
      <c r="C49" s="6" t="str">
        <f t="shared" si="1"/>
        <v>#VALUE!</v>
      </c>
      <c r="D49" s="6" t="str">
        <f t="shared" si="2"/>
        <v>#VALUE!</v>
      </c>
      <c r="E49" s="7">
        <v>0.16</v>
      </c>
      <c r="F49" s="8" t="str">
        <f t="shared" si="3"/>
        <v>#VALUE!</v>
      </c>
    </row>
    <row r="50">
      <c r="A50" s="4" t="s">
        <v>53</v>
      </c>
      <c r="B50" s="5">
        <v>15.5</v>
      </c>
      <c r="C50" s="6">
        <f t="shared" si="1"/>
        <v>16.585</v>
      </c>
      <c r="D50" s="6">
        <f t="shared" si="2"/>
        <v>18.2435</v>
      </c>
      <c r="E50" s="7">
        <v>0.16</v>
      </c>
      <c r="F50" s="8">
        <f t="shared" si="3"/>
        <v>114.021875</v>
      </c>
    </row>
    <row r="51">
      <c r="A51" s="4" t="s">
        <v>54</v>
      </c>
      <c r="B51" s="5">
        <v>19.83</v>
      </c>
      <c r="C51" s="6">
        <f t="shared" si="1"/>
        <v>21.2181</v>
      </c>
      <c r="D51" s="6">
        <f t="shared" si="2"/>
        <v>23.33991</v>
      </c>
      <c r="E51" s="7">
        <v>0.16</v>
      </c>
      <c r="F51" s="8">
        <f t="shared" si="3"/>
        <v>145.8744375</v>
      </c>
    </row>
    <row r="52">
      <c r="A52" s="4" t="s">
        <v>55</v>
      </c>
      <c r="B52" s="5" t="s">
        <v>47</v>
      </c>
      <c r="C52" s="6" t="str">
        <f t="shared" si="1"/>
        <v>#VALUE!</v>
      </c>
      <c r="D52" s="6" t="str">
        <f t="shared" si="2"/>
        <v>#VALUE!</v>
      </c>
      <c r="E52" s="7">
        <v>0.16</v>
      </c>
      <c r="F52" s="8" t="str">
        <f t="shared" si="3"/>
        <v>#VALUE!</v>
      </c>
    </row>
    <row r="53">
      <c r="A53" s="4" t="s">
        <v>56</v>
      </c>
      <c r="B53" s="5">
        <v>33.0</v>
      </c>
      <c r="C53" s="6">
        <f t="shared" si="1"/>
        <v>35.31</v>
      </c>
      <c r="D53" s="6">
        <f t="shared" si="2"/>
        <v>38.841</v>
      </c>
      <c r="E53" s="7">
        <v>0.16</v>
      </c>
      <c r="F53" s="8">
        <f t="shared" si="3"/>
        <v>242.75625</v>
      </c>
    </row>
    <row r="54">
      <c r="A54" s="4" t="s">
        <v>57</v>
      </c>
      <c r="B54" s="5">
        <v>1340.0</v>
      </c>
      <c r="C54" s="6">
        <f t="shared" si="1"/>
        <v>1433.8</v>
      </c>
      <c r="D54" s="6">
        <f t="shared" si="2"/>
        <v>1577.18</v>
      </c>
      <c r="E54" s="7">
        <v>25.0</v>
      </c>
      <c r="F54" s="8">
        <f t="shared" si="3"/>
        <v>63.0872</v>
      </c>
    </row>
    <row r="55">
      <c r="A55" s="4" t="s">
        <v>58</v>
      </c>
      <c r="B55" s="5" t="s">
        <v>47</v>
      </c>
      <c r="C55" s="6" t="str">
        <f t="shared" si="1"/>
        <v>#VALUE!</v>
      </c>
      <c r="D55" s="6" t="str">
        <f t="shared" si="2"/>
        <v>#VALUE!</v>
      </c>
      <c r="E55" s="9">
        <v>10.0</v>
      </c>
      <c r="F55" s="8" t="str">
        <f t="shared" si="3"/>
        <v>#VALUE!</v>
      </c>
    </row>
    <row r="56">
      <c r="A56" s="14" t="s">
        <v>59</v>
      </c>
      <c r="B56" s="15" t="s">
        <v>109</v>
      </c>
      <c r="C56" s="16" t="str">
        <f t="shared" si="1"/>
        <v>#VALUE!</v>
      </c>
      <c r="D56" s="16" t="str">
        <f t="shared" si="2"/>
        <v>#VALUE!</v>
      </c>
      <c r="E56" s="9">
        <v>10.0</v>
      </c>
      <c r="F56" s="18" t="str">
        <f t="shared" si="3"/>
        <v>#VALUE!</v>
      </c>
    </row>
    <row r="57">
      <c r="A57" s="4" t="s">
        <v>60</v>
      </c>
      <c r="B57" s="5" t="s">
        <v>47</v>
      </c>
      <c r="C57" s="6" t="str">
        <f t="shared" si="1"/>
        <v>#VALUE!</v>
      </c>
      <c r="D57" s="6" t="str">
        <f t="shared" si="2"/>
        <v>#VALUE!</v>
      </c>
      <c r="E57" s="9">
        <v>10.0</v>
      </c>
      <c r="F57" s="8" t="str">
        <f t="shared" si="3"/>
        <v>#VALUE!</v>
      </c>
    </row>
    <row r="58">
      <c r="A58" s="4" t="s">
        <v>61</v>
      </c>
      <c r="B58" s="5" t="s">
        <v>47</v>
      </c>
      <c r="C58" s="6" t="str">
        <f t="shared" si="1"/>
        <v>#VALUE!</v>
      </c>
      <c r="D58" s="6" t="str">
        <f t="shared" si="2"/>
        <v>#VALUE!</v>
      </c>
      <c r="E58" s="9">
        <v>10.0</v>
      </c>
      <c r="F58" s="8" t="str">
        <f t="shared" si="3"/>
        <v>#VALUE!</v>
      </c>
    </row>
    <row r="59">
      <c r="A59" s="4" t="s">
        <v>62</v>
      </c>
      <c r="B59" s="5" t="s">
        <v>47</v>
      </c>
      <c r="C59" s="6" t="str">
        <f t="shared" si="1"/>
        <v>#VALUE!</v>
      </c>
      <c r="D59" s="6" t="str">
        <f t="shared" si="2"/>
        <v>#VALUE!</v>
      </c>
      <c r="E59" s="9">
        <v>10.0</v>
      </c>
      <c r="F59" s="8" t="str">
        <f t="shared" si="3"/>
        <v>#VALUE!</v>
      </c>
    </row>
    <row r="60">
      <c r="A60" s="4" t="s">
        <v>63</v>
      </c>
      <c r="B60" s="5" t="s">
        <v>47</v>
      </c>
      <c r="C60" s="6" t="str">
        <f t="shared" si="1"/>
        <v>#VALUE!</v>
      </c>
      <c r="D60" s="6" t="str">
        <f t="shared" si="2"/>
        <v>#VALUE!</v>
      </c>
      <c r="E60" s="9">
        <v>10.0</v>
      </c>
      <c r="F60" s="8" t="str">
        <f t="shared" si="3"/>
        <v>#VALUE!</v>
      </c>
    </row>
    <row r="61">
      <c r="A61" s="4" t="s">
        <v>64</v>
      </c>
      <c r="B61" s="5" t="s">
        <v>47</v>
      </c>
      <c r="C61" s="6" t="str">
        <f t="shared" si="1"/>
        <v>#VALUE!</v>
      </c>
      <c r="D61" s="6" t="str">
        <f t="shared" si="2"/>
        <v>#VALUE!</v>
      </c>
      <c r="E61" s="9">
        <v>10.0</v>
      </c>
      <c r="F61" s="8" t="str">
        <f t="shared" si="3"/>
        <v>#VALUE!</v>
      </c>
    </row>
    <row r="62">
      <c r="A62" s="4" t="s">
        <v>65</v>
      </c>
      <c r="B62" s="5" t="s">
        <v>47</v>
      </c>
      <c r="C62" s="6" t="str">
        <f t="shared" si="1"/>
        <v>#VALUE!</v>
      </c>
      <c r="D62" s="6" t="str">
        <f t="shared" si="2"/>
        <v>#VALUE!</v>
      </c>
      <c r="E62" s="9">
        <v>10.0</v>
      </c>
      <c r="F62" s="8" t="str">
        <f t="shared" si="3"/>
        <v>#VALUE!</v>
      </c>
    </row>
    <row r="63">
      <c r="A63" s="4" t="s">
        <v>66</v>
      </c>
      <c r="B63" s="5">
        <v>192.0</v>
      </c>
      <c r="C63" s="6">
        <f t="shared" si="1"/>
        <v>205.44</v>
      </c>
      <c r="D63" s="6">
        <f t="shared" si="2"/>
        <v>225.984</v>
      </c>
      <c r="E63" s="9">
        <v>20.0</v>
      </c>
      <c r="F63" s="8">
        <f t="shared" si="3"/>
        <v>11.2992</v>
      </c>
    </row>
    <row r="64">
      <c r="A64" s="4" t="s">
        <v>67</v>
      </c>
      <c r="B64" s="5">
        <v>281.17</v>
      </c>
      <c r="C64" s="6">
        <f t="shared" si="1"/>
        <v>300.8519</v>
      </c>
      <c r="D64" s="6">
        <f t="shared" si="2"/>
        <v>330.93709</v>
      </c>
      <c r="E64" s="9">
        <v>30.0</v>
      </c>
      <c r="F64" s="8">
        <f t="shared" si="3"/>
        <v>11.03123633</v>
      </c>
    </row>
    <row r="65">
      <c r="A65" s="4" t="s">
        <v>68</v>
      </c>
      <c r="B65" s="5">
        <v>965.0</v>
      </c>
      <c r="C65" s="6">
        <f t="shared" si="1"/>
        <v>1032.55</v>
      </c>
      <c r="D65" s="6">
        <f t="shared" si="2"/>
        <v>1135.805</v>
      </c>
      <c r="E65" s="7">
        <v>10.0</v>
      </c>
      <c r="F65" s="8">
        <f t="shared" si="3"/>
        <v>113.5805</v>
      </c>
    </row>
    <row r="66">
      <c r="A66" s="4" t="s">
        <v>69</v>
      </c>
      <c r="B66" s="5">
        <v>449.99</v>
      </c>
      <c r="C66" s="6">
        <f t="shared" si="1"/>
        <v>481.4893</v>
      </c>
      <c r="D66" s="6">
        <f t="shared" si="2"/>
        <v>529.63823</v>
      </c>
      <c r="E66" s="7">
        <v>5.0</v>
      </c>
      <c r="F66" s="8">
        <f t="shared" si="3"/>
        <v>105.927646</v>
      </c>
    </row>
    <row r="67">
      <c r="A67" s="4" t="s">
        <v>110</v>
      </c>
      <c r="B67" s="5">
        <v>873.95</v>
      </c>
      <c r="C67" s="6">
        <f t="shared" si="1"/>
        <v>935.1265</v>
      </c>
      <c r="D67" s="6">
        <f t="shared" si="2"/>
        <v>1028.63915</v>
      </c>
      <c r="E67" s="7">
        <v>10.0</v>
      </c>
      <c r="F67" s="8">
        <f t="shared" si="3"/>
        <v>102.863915</v>
      </c>
    </row>
    <row r="68">
      <c r="A68" s="4" t="s">
        <v>70</v>
      </c>
      <c r="B68" s="5">
        <v>351.0</v>
      </c>
      <c r="C68" s="6">
        <f t="shared" si="1"/>
        <v>375.57</v>
      </c>
      <c r="D68" s="6">
        <f t="shared" si="2"/>
        <v>413.127</v>
      </c>
      <c r="E68" s="7">
        <v>20.0</v>
      </c>
      <c r="F68" s="8">
        <f t="shared" si="3"/>
        <v>20.65635</v>
      </c>
    </row>
    <row r="69">
      <c r="A69" s="4" t="s">
        <v>71</v>
      </c>
      <c r="B69" s="5">
        <v>154.0</v>
      </c>
      <c r="C69" s="6">
        <f t="shared" si="1"/>
        <v>164.78</v>
      </c>
      <c r="D69" s="6">
        <f t="shared" si="2"/>
        <v>181.258</v>
      </c>
      <c r="E69" s="9">
        <v>3.0</v>
      </c>
      <c r="F69" s="8">
        <f t="shared" si="3"/>
        <v>60.41933333</v>
      </c>
    </row>
    <row r="70">
      <c r="A70" s="4" t="s">
        <v>72</v>
      </c>
      <c r="B70" s="5">
        <v>28.0</v>
      </c>
      <c r="C70" s="6">
        <f t="shared" si="1"/>
        <v>29.96</v>
      </c>
      <c r="D70" s="6">
        <f t="shared" si="2"/>
        <v>32.956</v>
      </c>
      <c r="E70" s="9">
        <v>20.0</v>
      </c>
      <c r="F70" s="8">
        <f t="shared" si="3"/>
        <v>1.6478</v>
      </c>
    </row>
    <row r="71">
      <c r="A71" s="4" t="s">
        <v>73</v>
      </c>
      <c r="B71" s="5">
        <v>47.0</v>
      </c>
      <c r="C71" s="6">
        <f t="shared" si="1"/>
        <v>50.29</v>
      </c>
      <c r="D71" s="6">
        <f t="shared" si="2"/>
        <v>55.319</v>
      </c>
      <c r="E71" s="9">
        <v>20.0</v>
      </c>
      <c r="F71" s="8">
        <f t="shared" si="3"/>
        <v>2.76595</v>
      </c>
    </row>
    <row r="72">
      <c r="A72" s="4" t="s">
        <v>74</v>
      </c>
      <c r="B72" s="5">
        <v>38.0</v>
      </c>
      <c r="C72" s="6">
        <f t="shared" si="1"/>
        <v>40.66</v>
      </c>
      <c r="D72" s="6">
        <f t="shared" si="2"/>
        <v>44.726</v>
      </c>
      <c r="E72" s="10">
        <v>1.0</v>
      </c>
      <c r="F72" s="8">
        <f t="shared" si="3"/>
        <v>44.726</v>
      </c>
    </row>
    <row r="73">
      <c r="A73" s="4" t="s">
        <v>75</v>
      </c>
      <c r="B73" s="5">
        <v>350.0</v>
      </c>
      <c r="C73" s="6">
        <f t="shared" si="1"/>
        <v>374.5</v>
      </c>
      <c r="D73" s="6">
        <f t="shared" si="2"/>
        <v>411.95</v>
      </c>
      <c r="E73" s="10">
        <v>20.0</v>
      </c>
      <c r="F73" s="8">
        <f t="shared" si="3"/>
        <v>20.5975</v>
      </c>
    </row>
    <row r="74">
      <c r="A74" s="4" t="s">
        <v>76</v>
      </c>
      <c r="B74" s="5">
        <v>237.5</v>
      </c>
      <c r="C74" s="6">
        <f t="shared" si="1"/>
        <v>254.125</v>
      </c>
      <c r="D74" s="6">
        <f t="shared" si="2"/>
        <v>279.5375</v>
      </c>
      <c r="E74" s="10">
        <v>75.0</v>
      </c>
      <c r="F74" s="8">
        <f t="shared" si="3"/>
        <v>3.727166667</v>
      </c>
    </row>
    <row r="75">
      <c r="A75" s="4" t="s">
        <v>77</v>
      </c>
      <c r="B75" s="5" t="s">
        <v>47</v>
      </c>
      <c r="C75" s="6" t="str">
        <f t="shared" si="1"/>
        <v>#VALUE!</v>
      </c>
      <c r="D75" s="6" t="str">
        <f t="shared" si="2"/>
        <v>#VALUE!</v>
      </c>
      <c r="E75" s="7">
        <v>5.0</v>
      </c>
      <c r="F75" s="8" t="str">
        <f t="shared" si="3"/>
        <v>#VALUE!</v>
      </c>
    </row>
    <row r="76">
      <c r="A76" s="4" t="s">
        <v>78</v>
      </c>
      <c r="B76" s="5" t="s">
        <v>47</v>
      </c>
      <c r="C76" s="6" t="str">
        <f t="shared" si="1"/>
        <v>#VALUE!</v>
      </c>
      <c r="D76" s="6" t="str">
        <f t="shared" si="2"/>
        <v>#VALUE!</v>
      </c>
      <c r="E76" s="7">
        <v>4.0</v>
      </c>
      <c r="F76" s="8" t="str">
        <f t="shared" si="3"/>
        <v>#VALUE!</v>
      </c>
    </row>
    <row r="77">
      <c r="A77" s="4" t="s">
        <v>79</v>
      </c>
      <c r="B77" s="5">
        <v>303.0</v>
      </c>
      <c r="C77" s="6">
        <f t="shared" si="1"/>
        <v>324.21</v>
      </c>
      <c r="D77" s="6">
        <f t="shared" si="2"/>
        <v>356.631</v>
      </c>
      <c r="E77" s="7">
        <v>4.0</v>
      </c>
      <c r="F77" s="8">
        <f t="shared" si="3"/>
        <v>89.15775</v>
      </c>
    </row>
    <row r="78">
      <c r="A78" s="4" t="s">
        <v>111</v>
      </c>
      <c r="B78" s="5">
        <v>312.5</v>
      </c>
      <c r="C78" s="6">
        <f t="shared" si="1"/>
        <v>334.375</v>
      </c>
      <c r="D78" s="6">
        <f t="shared" si="2"/>
        <v>367.8125</v>
      </c>
      <c r="E78" s="7">
        <v>5.0</v>
      </c>
      <c r="F78" s="8">
        <f t="shared" si="3"/>
        <v>73.5625</v>
      </c>
    </row>
    <row r="79">
      <c r="A79" s="14" t="s">
        <v>112</v>
      </c>
      <c r="B79" s="15" t="s">
        <v>109</v>
      </c>
      <c r="C79" s="16" t="str">
        <f t="shared" si="1"/>
        <v>#VALUE!</v>
      </c>
      <c r="D79" s="16" t="str">
        <f t="shared" si="2"/>
        <v>#VALUE!</v>
      </c>
      <c r="E79" s="19">
        <v>5.0</v>
      </c>
      <c r="F79" s="18" t="str">
        <f t="shared" si="3"/>
        <v>#VALUE!</v>
      </c>
    </row>
    <row r="80">
      <c r="A80" s="14" t="s">
        <v>80</v>
      </c>
      <c r="B80" s="15" t="s">
        <v>109</v>
      </c>
      <c r="C80" s="16" t="str">
        <f t="shared" si="1"/>
        <v>#VALUE!</v>
      </c>
      <c r="D80" s="16" t="str">
        <f t="shared" si="2"/>
        <v>#VALUE!</v>
      </c>
      <c r="E80" s="19">
        <v>3.333</v>
      </c>
      <c r="F80" s="18" t="str">
        <f t="shared" si="3"/>
        <v>#VALUE!</v>
      </c>
    </row>
    <row r="81">
      <c r="A81" s="14" t="s">
        <v>81</v>
      </c>
      <c r="B81" s="15" t="s">
        <v>109</v>
      </c>
      <c r="C81" s="16" t="str">
        <f t="shared" si="1"/>
        <v>#VALUE!</v>
      </c>
      <c r="D81" s="16" t="str">
        <f t="shared" si="2"/>
        <v>#VALUE!</v>
      </c>
      <c r="E81" s="19">
        <v>5.0</v>
      </c>
      <c r="F81" s="18" t="str">
        <f t="shared" si="3"/>
        <v>#VALUE!</v>
      </c>
    </row>
    <row r="82">
      <c r="A82" s="4" t="s">
        <v>82</v>
      </c>
      <c r="B82" s="5">
        <v>205.0</v>
      </c>
      <c r="C82" s="6">
        <f t="shared" si="1"/>
        <v>219.35</v>
      </c>
      <c r="D82" s="6">
        <f t="shared" si="2"/>
        <v>241.285</v>
      </c>
      <c r="E82" s="7">
        <v>6.667</v>
      </c>
      <c r="F82" s="8">
        <f t="shared" si="3"/>
        <v>36.19094045</v>
      </c>
    </row>
    <row r="83">
      <c r="A83" s="14" t="s">
        <v>83</v>
      </c>
      <c r="B83" s="15" t="s">
        <v>109</v>
      </c>
      <c r="C83" s="16" t="str">
        <f t="shared" si="1"/>
        <v>#VALUE!</v>
      </c>
      <c r="D83" s="16" t="str">
        <f t="shared" si="2"/>
        <v>#VALUE!</v>
      </c>
      <c r="E83" s="19">
        <v>7.5</v>
      </c>
      <c r="F83" s="18" t="str">
        <f t="shared" si="3"/>
        <v>#VALUE!</v>
      </c>
    </row>
    <row r="84">
      <c r="A84" s="4" t="s">
        <v>84</v>
      </c>
      <c r="B84" s="5">
        <v>168.99</v>
      </c>
      <c r="C84" s="6">
        <f t="shared" si="1"/>
        <v>180.8193</v>
      </c>
      <c r="D84" s="6">
        <f t="shared" si="2"/>
        <v>198.90123</v>
      </c>
      <c r="E84" s="7">
        <v>5.0</v>
      </c>
      <c r="F84" s="8">
        <f t="shared" si="3"/>
        <v>39.780246</v>
      </c>
    </row>
    <row r="85">
      <c r="A85" s="4" t="s">
        <v>85</v>
      </c>
      <c r="B85" s="5">
        <v>296.5</v>
      </c>
      <c r="C85" s="6">
        <f t="shared" si="1"/>
        <v>317.255</v>
      </c>
      <c r="D85" s="6">
        <f t="shared" si="2"/>
        <v>348.9805</v>
      </c>
      <c r="E85" s="7">
        <v>4.0</v>
      </c>
      <c r="F85" s="8">
        <f t="shared" si="3"/>
        <v>87.245125</v>
      </c>
    </row>
    <row r="86">
      <c r="A86" s="14" t="s">
        <v>113</v>
      </c>
      <c r="B86" s="15" t="s">
        <v>109</v>
      </c>
      <c r="C86" s="16" t="str">
        <f t="shared" si="1"/>
        <v>#VALUE!</v>
      </c>
      <c r="D86" s="16" t="str">
        <f t="shared" si="2"/>
        <v>#VALUE!</v>
      </c>
      <c r="E86" s="19">
        <v>4.0</v>
      </c>
      <c r="F86" s="18" t="str">
        <f t="shared" si="3"/>
        <v>#VALUE!</v>
      </c>
    </row>
    <row r="87">
      <c r="A87" s="4" t="s">
        <v>86</v>
      </c>
      <c r="B87" s="5">
        <v>131.99</v>
      </c>
      <c r="C87" s="6">
        <f t="shared" si="1"/>
        <v>141.2293</v>
      </c>
      <c r="D87" s="6">
        <f t="shared" si="2"/>
        <v>155.35223</v>
      </c>
      <c r="E87" s="7">
        <v>10.0</v>
      </c>
      <c r="F87" s="8">
        <f t="shared" si="3"/>
        <v>15.535223</v>
      </c>
    </row>
    <row r="88">
      <c r="A88" s="4" t="s">
        <v>87</v>
      </c>
      <c r="B88" s="5">
        <v>171.5</v>
      </c>
      <c r="C88" s="6">
        <f t="shared" si="1"/>
        <v>183.505</v>
      </c>
      <c r="D88" s="6">
        <f t="shared" si="2"/>
        <v>201.8555</v>
      </c>
      <c r="E88" s="7">
        <v>3.333</v>
      </c>
      <c r="F88" s="8">
        <f t="shared" si="3"/>
        <v>60.56270627</v>
      </c>
    </row>
    <row r="89">
      <c r="A89" s="4" t="s">
        <v>88</v>
      </c>
      <c r="B89" s="5">
        <v>2459.0</v>
      </c>
      <c r="C89" s="6">
        <f t="shared" si="1"/>
        <v>2631.13</v>
      </c>
      <c r="D89" s="6">
        <f t="shared" si="2"/>
        <v>2894.243</v>
      </c>
      <c r="E89" s="7">
        <v>32.47</v>
      </c>
      <c r="F89" s="8">
        <f t="shared" si="3"/>
        <v>89.13591007</v>
      </c>
    </row>
    <row r="90">
      <c r="A90" s="4" t="s">
        <v>89</v>
      </c>
      <c r="B90" s="5">
        <v>2459.0</v>
      </c>
      <c r="C90" s="6">
        <f t="shared" si="1"/>
        <v>2631.13</v>
      </c>
      <c r="D90" s="6">
        <f t="shared" si="2"/>
        <v>2894.243</v>
      </c>
      <c r="E90" s="7">
        <v>24.35</v>
      </c>
      <c r="F90" s="8">
        <f t="shared" si="3"/>
        <v>118.8600821</v>
      </c>
    </row>
    <row r="91">
      <c r="A91" s="4" t="s">
        <v>90</v>
      </c>
      <c r="B91" s="5" t="s">
        <v>47</v>
      </c>
      <c r="C91" s="6" t="str">
        <f t="shared" si="1"/>
        <v>#VALUE!</v>
      </c>
      <c r="D91" s="6" t="str">
        <f t="shared" si="2"/>
        <v>#VALUE!</v>
      </c>
      <c r="E91" s="7">
        <v>12.0</v>
      </c>
      <c r="F91" s="8" t="str">
        <f t="shared" si="3"/>
        <v>#VALUE!</v>
      </c>
    </row>
    <row r="92">
      <c r="A92" s="4" t="s">
        <v>91</v>
      </c>
      <c r="B92" s="5">
        <v>961.0</v>
      </c>
      <c r="C92" s="6">
        <f t="shared" si="1"/>
        <v>1028.27</v>
      </c>
      <c r="D92" s="6">
        <f t="shared" si="2"/>
        <v>1131.097</v>
      </c>
      <c r="E92" s="7">
        <v>10.0</v>
      </c>
      <c r="F92" s="8">
        <f t="shared" si="3"/>
        <v>113.1097</v>
      </c>
    </row>
    <row r="93">
      <c r="A93" s="4" t="s">
        <v>92</v>
      </c>
      <c r="B93" s="5">
        <v>540.69</v>
      </c>
      <c r="C93" s="6">
        <f t="shared" si="1"/>
        <v>578.5383</v>
      </c>
      <c r="D93" s="6">
        <f t="shared" si="2"/>
        <v>636.39213</v>
      </c>
      <c r="E93" s="7">
        <v>6.0</v>
      </c>
      <c r="F93" s="8">
        <f t="shared" si="3"/>
        <v>106.065355</v>
      </c>
    </row>
    <row r="94">
      <c r="A94" s="4" t="s">
        <v>93</v>
      </c>
      <c r="B94" s="5">
        <v>408.5</v>
      </c>
      <c r="C94" s="6">
        <f t="shared" si="1"/>
        <v>437.095</v>
      </c>
      <c r="D94" s="6">
        <f t="shared" si="2"/>
        <v>480.8045</v>
      </c>
      <c r="E94" s="7">
        <v>20.0</v>
      </c>
      <c r="F94" s="8">
        <f t="shared" si="3"/>
        <v>24.040225</v>
      </c>
    </row>
    <row r="95">
      <c r="A95" s="4" t="s">
        <v>94</v>
      </c>
      <c r="B95" s="5">
        <v>179.0</v>
      </c>
      <c r="C95" s="6">
        <f t="shared" si="1"/>
        <v>191.53</v>
      </c>
      <c r="D95" s="6">
        <f t="shared" si="2"/>
        <v>210.683</v>
      </c>
      <c r="E95" s="9">
        <v>3.0</v>
      </c>
      <c r="F95" s="8">
        <f t="shared" si="3"/>
        <v>70.22766667</v>
      </c>
    </row>
    <row r="96">
      <c r="A96" s="4" t="s">
        <v>95</v>
      </c>
      <c r="B96" s="5">
        <v>20.5</v>
      </c>
      <c r="C96" s="6">
        <f t="shared" si="1"/>
        <v>21.935</v>
      </c>
      <c r="D96" s="6">
        <f t="shared" si="2"/>
        <v>24.1285</v>
      </c>
      <c r="E96" s="9">
        <v>20.0</v>
      </c>
      <c r="F96" s="8">
        <f t="shared" si="3"/>
        <v>1.206425</v>
      </c>
    </row>
    <row r="97">
      <c r="A97" s="4" t="s">
        <v>96</v>
      </c>
      <c r="B97" s="5">
        <v>37.0</v>
      </c>
      <c r="C97" s="6">
        <f t="shared" si="1"/>
        <v>39.59</v>
      </c>
      <c r="D97" s="6">
        <f t="shared" si="2"/>
        <v>43.549</v>
      </c>
      <c r="E97" s="9">
        <v>20.0</v>
      </c>
      <c r="F97" s="8">
        <f t="shared" si="3"/>
        <v>2.17745</v>
      </c>
    </row>
    <row r="98">
      <c r="A98" s="4" t="s">
        <v>97</v>
      </c>
      <c r="B98" s="5">
        <v>41.5</v>
      </c>
      <c r="C98" s="6">
        <f t="shared" si="1"/>
        <v>44.405</v>
      </c>
      <c r="D98" s="6">
        <f t="shared" si="2"/>
        <v>48.8455</v>
      </c>
      <c r="E98" s="10">
        <v>1.0</v>
      </c>
      <c r="F98" s="8">
        <f t="shared" si="3"/>
        <v>48.8455</v>
      </c>
    </row>
    <row r="99">
      <c r="A99" s="4" t="s">
        <v>98</v>
      </c>
      <c r="B99" s="5">
        <v>199.0</v>
      </c>
      <c r="C99" s="6">
        <f t="shared" si="1"/>
        <v>212.93</v>
      </c>
      <c r="D99" s="6">
        <f t="shared" si="2"/>
        <v>234.223</v>
      </c>
      <c r="E99" s="10">
        <v>20.0</v>
      </c>
      <c r="F99" s="8">
        <f t="shared" si="3"/>
        <v>11.71115</v>
      </c>
    </row>
    <row r="100">
      <c r="A100" s="4" t="s">
        <v>99</v>
      </c>
      <c r="B100" s="11">
        <v>217.0</v>
      </c>
      <c r="C100" s="6">
        <f t="shared" si="1"/>
        <v>232.19</v>
      </c>
      <c r="D100" s="6">
        <f t="shared" si="2"/>
        <v>255.409</v>
      </c>
      <c r="E100" s="7">
        <v>7.0</v>
      </c>
      <c r="F100" s="8">
        <f t="shared" si="3"/>
        <v>36.487</v>
      </c>
    </row>
    <row r="101">
      <c r="A101" s="4" t="s">
        <v>100</v>
      </c>
      <c r="B101" s="5" t="s">
        <v>47</v>
      </c>
      <c r="C101" s="6" t="str">
        <f t="shared" si="1"/>
        <v>#VALUE!</v>
      </c>
      <c r="D101" s="6" t="str">
        <f t="shared" si="2"/>
        <v>#VALUE!</v>
      </c>
      <c r="E101" s="10">
        <v>75.0</v>
      </c>
      <c r="F101" s="8" t="str">
        <f t="shared" si="3"/>
        <v>#VALUE!</v>
      </c>
    </row>
    <row r="102">
      <c r="A102" s="20" t="s">
        <v>114</v>
      </c>
      <c r="B102" s="21">
        <v>160.0</v>
      </c>
      <c r="C102" s="22">
        <f t="shared" si="1"/>
        <v>171.2</v>
      </c>
      <c r="D102" s="22">
        <f t="shared" si="2"/>
        <v>188.32</v>
      </c>
      <c r="E102" s="23">
        <v>15.0</v>
      </c>
      <c r="F102" s="24">
        <f t="shared" si="3"/>
        <v>12.55466667</v>
      </c>
    </row>
    <row r="103">
      <c r="A103" s="4" t="s">
        <v>115</v>
      </c>
      <c r="B103" s="25">
        <v>94.99</v>
      </c>
      <c r="C103" s="6">
        <f t="shared" si="1"/>
        <v>101.6393</v>
      </c>
      <c r="D103" s="6">
        <f t="shared" si="2"/>
        <v>111.80323</v>
      </c>
      <c r="E103" s="7">
        <v>2.0</v>
      </c>
      <c r="F103" s="8">
        <f t="shared" si="3"/>
        <v>55.901615</v>
      </c>
    </row>
    <row r="104">
      <c r="A104" s="4" t="s">
        <v>116</v>
      </c>
      <c r="B104" s="25">
        <v>92.99</v>
      </c>
      <c r="C104" s="6">
        <f t="shared" si="1"/>
        <v>99.4993</v>
      </c>
      <c r="D104" s="6">
        <f t="shared" si="2"/>
        <v>109.44923</v>
      </c>
      <c r="E104" s="7">
        <v>1.0</v>
      </c>
      <c r="F104" s="8">
        <f t="shared" si="3"/>
        <v>109.44923</v>
      </c>
    </row>
    <row r="105">
      <c r="A105" s="4" t="s">
        <v>117</v>
      </c>
      <c r="B105" s="13"/>
      <c r="C105" s="6">
        <f t="shared" si="1"/>
        <v>0</v>
      </c>
      <c r="D105" s="6">
        <f t="shared" si="2"/>
        <v>0</v>
      </c>
      <c r="E105" s="7">
        <v>13.0</v>
      </c>
      <c r="F105" s="8">
        <f t="shared" si="3"/>
        <v>0</v>
      </c>
    </row>
    <row r="106">
      <c r="A106" s="4" t="s">
        <v>118</v>
      </c>
      <c r="B106" s="11">
        <v>147.0</v>
      </c>
      <c r="C106" s="6">
        <f t="shared" si="1"/>
        <v>157.29</v>
      </c>
      <c r="D106" s="6">
        <f t="shared" si="2"/>
        <v>173.019</v>
      </c>
      <c r="E106" s="7">
        <v>7.5</v>
      </c>
      <c r="F106" s="8">
        <f t="shared" si="3"/>
        <v>23.0692</v>
      </c>
    </row>
    <row r="107">
      <c r="A107" s="4" t="s">
        <v>119</v>
      </c>
      <c r="B107" s="25">
        <v>37.44</v>
      </c>
      <c r="C107" s="6">
        <f t="shared" si="1"/>
        <v>40.0608</v>
      </c>
      <c r="D107" s="6">
        <f t="shared" si="2"/>
        <v>44.06688</v>
      </c>
      <c r="E107" s="7">
        <v>1.0</v>
      </c>
      <c r="F107" s="8">
        <f t="shared" si="3"/>
        <v>44.06688</v>
      </c>
    </row>
    <row r="108">
      <c r="A108" s="4" t="s">
        <v>120</v>
      </c>
      <c r="B108" s="11">
        <v>8.0</v>
      </c>
      <c r="C108" s="6">
        <f t="shared" si="1"/>
        <v>8.56</v>
      </c>
      <c r="D108" s="6">
        <f t="shared" si="2"/>
        <v>9.416</v>
      </c>
      <c r="E108" s="7">
        <v>1.0</v>
      </c>
      <c r="F108" s="8">
        <f t="shared" si="3"/>
        <v>9.416</v>
      </c>
    </row>
    <row r="109">
      <c r="A109" s="4" t="s">
        <v>121</v>
      </c>
      <c r="B109" s="11">
        <v>16.0</v>
      </c>
      <c r="C109" s="6">
        <f t="shared" si="1"/>
        <v>17.12</v>
      </c>
      <c r="D109" s="6">
        <f t="shared" si="2"/>
        <v>18.832</v>
      </c>
      <c r="E109" s="7">
        <v>1.0</v>
      </c>
      <c r="F109" s="8">
        <f t="shared" si="3"/>
        <v>18.832</v>
      </c>
    </row>
    <row r="110">
      <c r="A110" s="12"/>
      <c r="B110" s="13"/>
      <c r="C110" s="6">
        <f t="shared" si="1"/>
        <v>0</v>
      </c>
      <c r="D110" s="6">
        <f t="shared" si="2"/>
        <v>0</v>
      </c>
      <c r="E110" s="7"/>
      <c r="F110" s="8" t="str">
        <f t="shared" si="3"/>
        <v>#DIV/0!</v>
      </c>
    </row>
    <row r="111">
      <c r="A111" s="12"/>
      <c r="B111" s="13"/>
      <c r="C111" s="6">
        <f t="shared" si="1"/>
        <v>0</v>
      </c>
      <c r="D111" s="6">
        <f t="shared" si="2"/>
        <v>0</v>
      </c>
      <c r="E111" s="7"/>
      <c r="F111" s="8" t="str">
        <f t="shared" si="3"/>
        <v>#DIV/0!</v>
      </c>
    </row>
    <row r="112">
      <c r="A112" s="12"/>
      <c r="B112" s="13"/>
      <c r="C112" s="6">
        <f t="shared" si="1"/>
        <v>0</v>
      </c>
      <c r="D112" s="6">
        <f t="shared" si="2"/>
        <v>0</v>
      </c>
      <c r="E112" s="7"/>
      <c r="F112" s="8" t="str">
        <f t="shared" si="3"/>
        <v>#DIV/0!</v>
      </c>
    </row>
    <row r="113">
      <c r="A113" s="12"/>
      <c r="B113" s="13"/>
      <c r="C113" s="6">
        <f t="shared" si="1"/>
        <v>0</v>
      </c>
      <c r="D113" s="6">
        <f t="shared" si="2"/>
        <v>0</v>
      </c>
      <c r="E113" s="7"/>
      <c r="F113" s="8" t="str">
        <f t="shared" si="3"/>
        <v>#DIV/0!</v>
      </c>
    </row>
    <row r="114">
      <c r="A114" s="12"/>
      <c r="B114" s="13"/>
      <c r="C114" s="6">
        <f t="shared" si="1"/>
        <v>0</v>
      </c>
      <c r="D114" s="6">
        <f t="shared" si="2"/>
        <v>0</v>
      </c>
      <c r="E114" s="7"/>
      <c r="F114" s="8" t="str">
        <f t="shared" si="3"/>
        <v>#DIV/0!</v>
      </c>
    </row>
    <row r="115">
      <c r="A115" s="12"/>
      <c r="B115" s="13"/>
      <c r="C115" s="6">
        <f t="shared" si="1"/>
        <v>0</v>
      </c>
      <c r="D115" s="6">
        <f t="shared" si="2"/>
        <v>0</v>
      </c>
      <c r="E115" s="7"/>
      <c r="F115" s="8" t="str">
        <f t="shared" si="3"/>
        <v>#DIV/0!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63"/>
    <col customWidth="1" min="6" max="6" width="16.0"/>
  </cols>
  <sheetData>
    <row r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121" si="1">B2*1.07</f>
        <v>72.7493</v>
      </c>
      <c r="D2" s="6">
        <f t="shared" ref="D2:D121" si="2">C2*1.1</f>
        <v>80.02423</v>
      </c>
      <c r="E2" s="7">
        <v>12.5</v>
      </c>
      <c r="F2" s="8">
        <f t="shared" ref="F2:F121" si="3">D2/E2</f>
        <v>6.4019384</v>
      </c>
    </row>
    <row r="3">
      <c r="A3" s="4" t="s">
        <v>126</v>
      </c>
      <c r="B3" s="5">
        <v>77.99</v>
      </c>
      <c r="C3" s="6">
        <f t="shared" si="1"/>
        <v>83.4493</v>
      </c>
      <c r="D3" s="6">
        <f t="shared" si="2"/>
        <v>91.79423</v>
      </c>
      <c r="E3" s="7">
        <v>50.0</v>
      </c>
      <c r="F3" s="8">
        <f t="shared" si="3"/>
        <v>1.8358846</v>
      </c>
    </row>
    <row r="4">
      <c r="A4" s="4" t="s">
        <v>7</v>
      </c>
      <c r="B4" s="5">
        <v>95.0</v>
      </c>
      <c r="C4" s="6">
        <f t="shared" si="1"/>
        <v>101.65</v>
      </c>
      <c r="D4" s="6">
        <f t="shared" si="2"/>
        <v>111.815</v>
      </c>
      <c r="E4" s="7">
        <v>20.0</v>
      </c>
      <c r="F4" s="8">
        <f t="shared" si="3"/>
        <v>5.59075</v>
      </c>
    </row>
    <row r="5">
      <c r="A5" s="4" t="s">
        <v>8</v>
      </c>
      <c r="B5" s="5">
        <v>40.0</v>
      </c>
      <c r="C5" s="6">
        <f t="shared" si="1"/>
        <v>42.8</v>
      </c>
      <c r="D5" s="6">
        <f t="shared" si="2"/>
        <v>47.08</v>
      </c>
      <c r="E5" s="7">
        <v>0.32</v>
      </c>
      <c r="F5" s="8">
        <f t="shared" si="3"/>
        <v>147.125</v>
      </c>
    </row>
    <row r="6">
      <c r="A6" s="4" t="s">
        <v>127</v>
      </c>
      <c r="B6" s="5">
        <v>10.5</v>
      </c>
      <c r="C6" s="6">
        <f t="shared" si="1"/>
        <v>11.235</v>
      </c>
      <c r="D6" s="6">
        <f t="shared" si="2"/>
        <v>12.3585</v>
      </c>
      <c r="E6" s="7">
        <v>0.06</v>
      </c>
      <c r="F6" s="8">
        <f t="shared" si="3"/>
        <v>205.975</v>
      </c>
    </row>
    <row r="7">
      <c r="A7" s="4" t="s">
        <v>128</v>
      </c>
      <c r="B7" s="5">
        <v>14.0</v>
      </c>
      <c r="C7" s="6">
        <f t="shared" si="1"/>
        <v>14.98</v>
      </c>
      <c r="D7" s="6">
        <f t="shared" si="2"/>
        <v>16.478</v>
      </c>
      <c r="E7" s="7">
        <v>0.08</v>
      </c>
      <c r="F7" s="8">
        <f t="shared" si="3"/>
        <v>205.975</v>
      </c>
    </row>
    <row r="8">
      <c r="A8" s="4" t="s">
        <v>129</v>
      </c>
      <c r="B8" s="5" t="s">
        <v>102</v>
      </c>
      <c r="C8" s="6" t="str">
        <f t="shared" si="1"/>
        <v>#VALUE!</v>
      </c>
      <c r="D8" s="6" t="str">
        <f t="shared" si="2"/>
        <v>#VALUE!</v>
      </c>
      <c r="E8" s="7">
        <v>0.08</v>
      </c>
      <c r="F8" s="8" t="str">
        <f t="shared" si="3"/>
        <v>#VALUE!</v>
      </c>
    </row>
    <row r="9">
      <c r="A9" s="4" t="s">
        <v>130</v>
      </c>
      <c r="B9" s="5" t="s">
        <v>102</v>
      </c>
      <c r="C9" s="6" t="str">
        <f t="shared" si="1"/>
        <v>#VALUE!</v>
      </c>
      <c r="D9" s="6" t="str">
        <f t="shared" si="2"/>
        <v>#VALUE!</v>
      </c>
      <c r="E9" s="7">
        <v>0.08</v>
      </c>
      <c r="F9" s="8" t="str">
        <f t="shared" si="3"/>
        <v>#VALUE!</v>
      </c>
    </row>
    <row r="10">
      <c r="A10" s="4" t="s">
        <v>11</v>
      </c>
      <c r="B10" s="5" t="s">
        <v>102</v>
      </c>
      <c r="C10" s="6" t="str">
        <f t="shared" si="1"/>
        <v>#VALUE!</v>
      </c>
      <c r="D10" s="6" t="str">
        <f t="shared" si="2"/>
        <v>#VALUE!</v>
      </c>
      <c r="E10" s="7">
        <v>1.0</v>
      </c>
      <c r="F10" s="8" t="str">
        <f t="shared" si="3"/>
        <v>#VALUE!</v>
      </c>
    </row>
    <row r="11">
      <c r="A11" s="4" t="s">
        <v>12</v>
      </c>
      <c r="B11" s="5" t="s">
        <v>102</v>
      </c>
      <c r="C11" s="6" t="str">
        <f t="shared" si="1"/>
        <v>#VALUE!</v>
      </c>
      <c r="D11" s="6" t="str">
        <f t="shared" si="2"/>
        <v>#VALUE!</v>
      </c>
      <c r="E11" s="7">
        <v>1.0</v>
      </c>
      <c r="F11" s="8" t="str">
        <f t="shared" si="3"/>
        <v>#VALUE!</v>
      </c>
    </row>
    <row r="12">
      <c r="A12" s="4" t="s">
        <v>13</v>
      </c>
      <c r="B12" s="5">
        <v>14.0</v>
      </c>
      <c r="C12" s="6">
        <f t="shared" si="1"/>
        <v>14.98</v>
      </c>
      <c r="D12" s="6">
        <f t="shared" si="2"/>
        <v>16.478</v>
      </c>
      <c r="E12" s="7">
        <v>1.0</v>
      </c>
      <c r="F12" s="8">
        <f t="shared" si="3"/>
        <v>16.478</v>
      </c>
    </row>
    <row r="13">
      <c r="A13" s="4" t="s">
        <v>131</v>
      </c>
      <c r="B13" s="5">
        <v>12.0</v>
      </c>
      <c r="C13" s="6">
        <f t="shared" si="1"/>
        <v>12.84</v>
      </c>
      <c r="D13" s="6">
        <f t="shared" si="2"/>
        <v>14.124</v>
      </c>
      <c r="E13" s="7">
        <v>4.0</v>
      </c>
      <c r="F13" s="8">
        <f t="shared" si="3"/>
        <v>3.531</v>
      </c>
    </row>
    <row r="14">
      <c r="A14" s="4" t="s">
        <v>40</v>
      </c>
      <c r="B14" s="5">
        <v>16.0</v>
      </c>
      <c r="C14" s="6">
        <f t="shared" si="1"/>
        <v>17.12</v>
      </c>
      <c r="D14" s="6">
        <f t="shared" si="2"/>
        <v>18.832</v>
      </c>
      <c r="E14" s="7">
        <v>4.0</v>
      </c>
      <c r="F14" s="8">
        <f t="shared" si="3"/>
        <v>4.708</v>
      </c>
    </row>
    <row r="15">
      <c r="A15" s="4" t="s">
        <v>107</v>
      </c>
      <c r="B15" s="5">
        <v>20.5</v>
      </c>
      <c r="C15" s="6">
        <f t="shared" si="1"/>
        <v>21.935</v>
      </c>
      <c r="D15" s="6">
        <f t="shared" si="2"/>
        <v>24.1285</v>
      </c>
      <c r="E15" s="7">
        <v>4.0</v>
      </c>
      <c r="F15" s="8">
        <f t="shared" si="3"/>
        <v>6.032125</v>
      </c>
    </row>
    <row r="16">
      <c r="A16" s="4" t="s">
        <v>108</v>
      </c>
      <c r="B16" s="5">
        <v>28.5</v>
      </c>
      <c r="C16" s="6">
        <f t="shared" si="1"/>
        <v>30.495</v>
      </c>
      <c r="D16" s="6">
        <f t="shared" si="2"/>
        <v>33.5445</v>
      </c>
      <c r="E16" s="7">
        <v>4.0</v>
      </c>
      <c r="F16" s="8">
        <f t="shared" si="3"/>
        <v>8.386125</v>
      </c>
    </row>
    <row r="17">
      <c r="A17" s="4" t="s">
        <v>132</v>
      </c>
      <c r="B17" s="5">
        <v>37.0</v>
      </c>
      <c r="C17" s="6">
        <f t="shared" si="1"/>
        <v>39.59</v>
      </c>
      <c r="D17" s="6">
        <f t="shared" si="2"/>
        <v>43.549</v>
      </c>
      <c r="E17" s="7">
        <v>4.0</v>
      </c>
      <c r="F17" s="8">
        <f t="shared" si="3"/>
        <v>10.88725</v>
      </c>
    </row>
    <row r="18">
      <c r="A18" s="4" t="s">
        <v>41</v>
      </c>
      <c r="B18" s="5">
        <v>46.0</v>
      </c>
      <c r="C18" s="6">
        <f t="shared" si="1"/>
        <v>49.22</v>
      </c>
      <c r="D18" s="6">
        <f t="shared" si="2"/>
        <v>54.142</v>
      </c>
      <c r="E18" s="7">
        <v>4.0</v>
      </c>
      <c r="F18" s="8">
        <f t="shared" si="3"/>
        <v>13.5355</v>
      </c>
    </row>
    <row r="19">
      <c r="A19" s="4" t="s">
        <v>14</v>
      </c>
      <c r="B19" s="5">
        <v>9.0</v>
      </c>
      <c r="C19" s="6">
        <f t="shared" si="1"/>
        <v>9.63</v>
      </c>
      <c r="D19" s="6">
        <f t="shared" si="2"/>
        <v>10.593</v>
      </c>
      <c r="E19" s="7">
        <v>1.0</v>
      </c>
      <c r="F19" s="8">
        <f t="shared" si="3"/>
        <v>10.593</v>
      </c>
    </row>
    <row r="20">
      <c r="A20" s="4" t="s">
        <v>15</v>
      </c>
      <c r="B20" s="5">
        <v>9.25</v>
      </c>
      <c r="C20" s="6">
        <f t="shared" si="1"/>
        <v>9.8975</v>
      </c>
      <c r="D20" s="6">
        <f t="shared" si="2"/>
        <v>10.88725</v>
      </c>
      <c r="E20" s="7">
        <v>1.0</v>
      </c>
      <c r="F20" s="8">
        <f t="shared" si="3"/>
        <v>10.88725</v>
      </c>
    </row>
    <row r="21">
      <c r="A21" s="4" t="s">
        <v>16</v>
      </c>
      <c r="B21" s="5" t="s">
        <v>102</v>
      </c>
      <c r="C21" s="6" t="str">
        <f t="shared" si="1"/>
        <v>#VALUE!</v>
      </c>
      <c r="D21" s="6" t="str">
        <f t="shared" si="2"/>
        <v>#VALUE!</v>
      </c>
      <c r="E21" s="7">
        <v>1.0</v>
      </c>
      <c r="F21" s="8" t="str">
        <f t="shared" si="3"/>
        <v>#VALUE!</v>
      </c>
    </row>
    <row r="22">
      <c r="A22" s="4" t="s">
        <v>19</v>
      </c>
      <c r="B22" s="5">
        <v>21.5</v>
      </c>
      <c r="C22" s="6">
        <f t="shared" si="1"/>
        <v>23.005</v>
      </c>
      <c r="D22" s="6">
        <f t="shared" si="2"/>
        <v>25.3055</v>
      </c>
      <c r="E22" s="7">
        <v>1.0</v>
      </c>
      <c r="F22" s="8">
        <f t="shared" si="3"/>
        <v>25.3055</v>
      </c>
    </row>
    <row r="23">
      <c r="A23" s="4" t="s">
        <v>103</v>
      </c>
      <c r="B23" s="5" t="s">
        <v>102</v>
      </c>
      <c r="C23" s="6" t="str">
        <f t="shared" si="1"/>
        <v>#VALUE!</v>
      </c>
      <c r="D23" s="6" t="str">
        <f t="shared" si="2"/>
        <v>#VALUE!</v>
      </c>
      <c r="E23" s="7">
        <v>1.0</v>
      </c>
      <c r="F23" s="8" t="str">
        <f t="shared" si="3"/>
        <v>#VALUE!</v>
      </c>
    </row>
    <row r="24">
      <c r="A24" s="4" t="s">
        <v>26</v>
      </c>
      <c r="B24" s="5">
        <v>76.5</v>
      </c>
      <c r="C24" s="6">
        <f t="shared" si="1"/>
        <v>81.855</v>
      </c>
      <c r="D24" s="6">
        <f t="shared" si="2"/>
        <v>90.0405</v>
      </c>
      <c r="E24" s="7">
        <v>10.0</v>
      </c>
      <c r="F24" s="8">
        <f t="shared" si="3"/>
        <v>9.00405</v>
      </c>
    </row>
    <row r="25">
      <c r="A25" s="4" t="s">
        <v>133</v>
      </c>
      <c r="B25" s="5" t="s">
        <v>102</v>
      </c>
      <c r="C25" s="6" t="str">
        <f t="shared" si="1"/>
        <v>#VALUE!</v>
      </c>
      <c r="D25" s="6" t="str">
        <f t="shared" si="2"/>
        <v>#VALUE!</v>
      </c>
      <c r="E25" s="7">
        <v>10.0</v>
      </c>
      <c r="F25" s="8" t="str">
        <f t="shared" si="3"/>
        <v>#VALUE!</v>
      </c>
    </row>
    <row r="26">
      <c r="A26" s="4" t="s">
        <v>27</v>
      </c>
      <c r="B26" s="5">
        <v>9.5</v>
      </c>
      <c r="C26" s="6">
        <f t="shared" si="1"/>
        <v>10.165</v>
      </c>
      <c r="D26" s="6">
        <f t="shared" si="2"/>
        <v>11.1815</v>
      </c>
      <c r="E26" s="7">
        <v>1.0</v>
      </c>
      <c r="F26" s="8">
        <f t="shared" si="3"/>
        <v>11.1815</v>
      </c>
    </row>
    <row r="27">
      <c r="A27" s="4" t="s">
        <v>28</v>
      </c>
      <c r="B27" s="5" t="s">
        <v>102</v>
      </c>
      <c r="C27" s="6" t="str">
        <f t="shared" si="1"/>
        <v>#VALUE!</v>
      </c>
      <c r="D27" s="6" t="str">
        <f t="shared" si="2"/>
        <v>#VALUE!</v>
      </c>
      <c r="E27" s="7">
        <v>1.0</v>
      </c>
      <c r="F27" s="8" t="str">
        <f t="shared" si="3"/>
        <v>#VALUE!</v>
      </c>
    </row>
    <row r="28">
      <c r="A28" s="4" t="s">
        <v>20</v>
      </c>
      <c r="B28" s="5">
        <v>43.99</v>
      </c>
      <c r="C28" s="6">
        <f t="shared" si="1"/>
        <v>47.0693</v>
      </c>
      <c r="D28" s="6">
        <f t="shared" si="2"/>
        <v>51.77623</v>
      </c>
      <c r="E28" s="7">
        <v>2.0</v>
      </c>
      <c r="F28" s="8">
        <f t="shared" si="3"/>
        <v>25.888115</v>
      </c>
    </row>
    <row r="29">
      <c r="A29" s="4" t="s">
        <v>21</v>
      </c>
      <c r="B29" s="5">
        <v>34.75</v>
      </c>
      <c r="C29" s="6">
        <f t="shared" si="1"/>
        <v>37.1825</v>
      </c>
      <c r="D29" s="6">
        <f t="shared" si="2"/>
        <v>40.90075</v>
      </c>
      <c r="E29" s="7">
        <v>2.0</v>
      </c>
      <c r="F29" s="8">
        <f t="shared" si="3"/>
        <v>20.450375</v>
      </c>
    </row>
    <row r="30">
      <c r="A30" s="4" t="s">
        <v>22</v>
      </c>
      <c r="B30" s="5">
        <v>32.0</v>
      </c>
      <c r="C30" s="6">
        <f t="shared" si="1"/>
        <v>34.24</v>
      </c>
      <c r="D30" s="6">
        <f t="shared" si="2"/>
        <v>37.664</v>
      </c>
      <c r="E30" s="7">
        <v>2.0</v>
      </c>
      <c r="F30" s="8">
        <f t="shared" si="3"/>
        <v>18.832</v>
      </c>
    </row>
    <row r="31">
      <c r="A31" s="4" t="s">
        <v>122</v>
      </c>
      <c r="B31" s="5">
        <v>105.0</v>
      </c>
      <c r="C31" s="6">
        <f t="shared" si="1"/>
        <v>112.35</v>
      </c>
      <c r="D31" s="6">
        <f t="shared" si="2"/>
        <v>123.585</v>
      </c>
      <c r="E31" s="7">
        <v>2.0</v>
      </c>
      <c r="F31" s="8">
        <f t="shared" si="3"/>
        <v>61.7925</v>
      </c>
    </row>
    <row r="32">
      <c r="A32" s="4" t="s">
        <v>123</v>
      </c>
      <c r="B32" s="5">
        <v>96.5</v>
      </c>
      <c r="C32" s="6">
        <f t="shared" si="1"/>
        <v>103.255</v>
      </c>
      <c r="D32" s="6">
        <f t="shared" si="2"/>
        <v>113.5805</v>
      </c>
      <c r="E32" s="7">
        <v>2.0</v>
      </c>
      <c r="F32" s="8">
        <f t="shared" si="3"/>
        <v>56.79025</v>
      </c>
    </row>
    <row r="33">
      <c r="A33" s="4" t="s">
        <v>134</v>
      </c>
      <c r="B33" s="5">
        <v>69.0</v>
      </c>
      <c r="C33" s="6">
        <f t="shared" si="1"/>
        <v>73.83</v>
      </c>
      <c r="D33" s="6">
        <f t="shared" si="2"/>
        <v>81.213</v>
      </c>
      <c r="E33" s="7">
        <v>2.0</v>
      </c>
      <c r="F33" s="8">
        <f t="shared" si="3"/>
        <v>40.6065</v>
      </c>
    </row>
    <row r="34">
      <c r="A34" s="4" t="s">
        <v>124</v>
      </c>
      <c r="B34" s="5">
        <v>104.99</v>
      </c>
      <c r="C34" s="6">
        <f t="shared" si="1"/>
        <v>112.3393</v>
      </c>
      <c r="D34" s="6">
        <f t="shared" si="2"/>
        <v>123.57323</v>
      </c>
      <c r="E34" s="7">
        <v>2.0</v>
      </c>
      <c r="F34" s="8">
        <f t="shared" si="3"/>
        <v>61.786615</v>
      </c>
    </row>
    <row r="35">
      <c r="A35" s="4" t="s">
        <v>125</v>
      </c>
      <c r="B35" s="5">
        <v>123.8</v>
      </c>
      <c r="C35" s="6">
        <f t="shared" si="1"/>
        <v>132.466</v>
      </c>
      <c r="D35" s="6">
        <f t="shared" si="2"/>
        <v>145.7126</v>
      </c>
      <c r="E35" s="7">
        <v>1.5</v>
      </c>
      <c r="F35" s="8">
        <f t="shared" si="3"/>
        <v>97.14173333</v>
      </c>
    </row>
    <row r="36">
      <c r="A36" s="4" t="s">
        <v>39</v>
      </c>
      <c r="B36" s="5">
        <v>169.5</v>
      </c>
      <c r="C36" s="6">
        <f t="shared" si="1"/>
        <v>181.365</v>
      </c>
      <c r="D36" s="6">
        <f t="shared" si="2"/>
        <v>199.5015</v>
      </c>
      <c r="E36" s="7">
        <v>3.5</v>
      </c>
      <c r="F36" s="8">
        <f t="shared" si="3"/>
        <v>57.00042857</v>
      </c>
    </row>
    <row r="37">
      <c r="A37" s="4" t="s">
        <v>42</v>
      </c>
      <c r="B37" s="5">
        <v>42.99</v>
      </c>
      <c r="C37" s="6">
        <f t="shared" si="1"/>
        <v>45.9993</v>
      </c>
      <c r="D37" s="6">
        <f t="shared" si="2"/>
        <v>50.59923</v>
      </c>
      <c r="E37" s="7">
        <v>5.0</v>
      </c>
      <c r="F37" s="8">
        <f t="shared" si="3"/>
        <v>10.119846</v>
      </c>
    </row>
    <row r="38">
      <c r="A38" s="4" t="s">
        <v>29</v>
      </c>
      <c r="B38" s="5">
        <v>38.0</v>
      </c>
      <c r="C38" s="6">
        <f t="shared" si="1"/>
        <v>40.66</v>
      </c>
      <c r="D38" s="6">
        <f t="shared" si="2"/>
        <v>44.726</v>
      </c>
      <c r="E38" s="7">
        <v>7.0</v>
      </c>
      <c r="F38" s="8">
        <f t="shared" si="3"/>
        <v>6.389428571</v>
      </c>
    </row>
    <row r="39">
      <c r="A39" s="4" t="s">
        <v>105</v>
      </c>
      <c r="B39" s="5">
        <v>41.99</v>
      </c>
      <c r="C39" s="6">
        <f t="shared" si="1"/>
        <v>44.9293</v>
      </c>
      <c r="D39" s="6">
        <f t="shared" si="2"/>
        <v>49.42223</v>
      </c>
      <c r="E39" s="7">
        <v>5.0</v>
      </c>
      <c r="F39" s="8">
        <f t="shared" si="3"/>
        <v>9.884446</v>
      </c>
    </row>
    <row r="40">
      <c r="A40" s="4" t="s">
        <v>31</v>
      </c>
      <c r="B40" s="5">
        <v>141.99</v>
      </c>
      <c r="C40" s="6">
        <f t="shared" si="1"/>
        <v>151.9293</v>
      </c>
      <c r="D40" s="6">
        <f t="shared" si="2"/>
        <v>167.12223</v>
      </c>
      <c r="E40" s="7">
        <v>2.5</v>
      </c>
      <c r="F40" s="8">
        <f t="shared" si="3"/>
        <v>66.848892</v>
      </c>
    </row>
    <row r="41">
      <c r="A41" s="4" t="s">
        <v>33</v>
      </c>
      <c r="B41" s="5">
        <v>17.5</v>
      </c>
      <c r="C41" s="6">
        <f t="shared" si="1"/>
        <v>18.725</v>
      </c>
      <c r="D41" s="6">
        <f t="shared" si="2"/>
        <v>20.5975</v>
      </c>
      <c r="E41" s="7">
        <v>1.25</v>
      </c>
      <c r="F41" s="8">
        <f t="shared" si="3"/>
        <v>16.478</v>
      </c>
    </row>
    <row r="42">
      <c r="A42" s="4" t="s">
        <v>34</v>
      </c>
      <c r="B42" s="5">
        <v>19.25</v>
      </c>
      <c r="C42" s="6">
        <f t="shared" si="1"/>
        <v>20.5975</v>
      </c>
      <c r="D42" s="6">
        <f t="shared" si="2"/>
        <v>22.65725</v>
      </c>
      <c r="E42" s="7">
        <v>1.25</v>
      </c>
      <c r="F42" s="8">
        <f t="shared" si="3"/>
        <v>18.1258</v>
      </c>
    </row>
    <row r="43">
      <c r="A43" s="4" t="s">
        <v>35</v>
      </c>
      <c r="B43" s="5">
        <v>19.95</v>
      </c>
      <c r="C43" s="6">
        <f t="shared" si="1"/>
        <v>21.3465</v>
      </c>
      <c r="D43" s="6">
        <f t="shared" si="2"/>
        <v>23.48115</v>
      </c>
      <c r="E43" s="7">
        <v>1.25</v>
      </c>
      <c r="F43" s="8">
        <f t="shared" si="3"/>
        <v>18.78492</v>
      </c>
    </row>
    <row r="44">
      <c r="A44" s="4" t="s">
        <v>36</v>
      </c>
      <c r="B44" s="5">
        <v>27.99</v>
      </c>
      <c r="C44" s="6">
        <f t="shared" si="1"/>
        <v>29.9493</v>
      </c>
      <c r="D44" s="6">
        <f t="shared" si="2"/>
        <v>32.94423</v>
      </c>
      <c r="E44" s="7">
        <v>0.333</v>
      </c>
      <c r="F44" s="8">
        <f t="shared" si="3"/>
        <v>98.93162162</v>
      </c>
    </row>
    <row r="45">
      <c r="A45" s="4" t="s">
        <v>135</v>
      </c>
      <c r="B45" s="5">
        <v>50.0</v>
      </c>
      <c r="C45" s="6">
        <f t="shared" si="1"/>
        <v>53.5</v>
      </c>
      <c r="D45" s="6">
        <f t="shared" si="2"/>
        <v>58.85</v>
      </c>
      <c r="E45" s="7">
        <v>20.0</v>
      </c>
      <c r="F45" s="8">
        <f t="shared" si="3"/>
        <v>2.9425</v>
      </c>
    </row>
    <row r="46">
      <c r="A46" s="4" t="s">
        <v>136</v>
      </c>
      <c r="B46" s="5">
        <v>50.0</v>
      </c>
      <c r="C46" s="6">
        <f t="shared" si="1"/>
        <v>53.5</v>
      </c>
      <c r="D46" s="6">
        <f t="shared" si="2"/>
        <v>58.85</v>
      </c>
      <c r="E46" s="7">
        <v>3.0</v>
      </c>
      <c r="F46" s="8">
        <f t="shared" si="3"/>
        <v>19.61666667</v>
      </c>
    </row>
    <row r="47">
      <c r="A47" s="4" t="s">
        <v>106</v>
      </c>
      <c r="B47" s="5">
        <v>32.67</v>
      </c>
      <c r="C47" s="6">
        <f t="shared" si="1"/>
        <v>34.9569</v>
      </c>
      <c r="D47" s="6">
        <f t="shared" si="2"/>
        <v>38.45259</v>
      </c>
      <c r="E47" s="7">
        <v>0.333</v>
      </c>
      <c r="F47" s="8">
        <f t="shared" si="3"/>
        <v>115.4732432</v>
      </c>
    </row>
    <row r="48">
      <c r="A48" s="4" t="s">
        <v>38</v>
      </c>
      <c r="B48" s="5">
        <v>32.67</v>
      </c>
      <c r="C48" s="6">
        <f t="shared" si="1"/>
        <v>34.9569</v>
      </c>
      <c r="D48" s="6">
        <f t="shared" si="2"/>
        <v>38.45259</v>
      </c>
      <c r="E48" s="7">
        <v>0.333</v>
      </c>
      <c r="F48" s="8">
        <f t="shared" si="3"/>
        <v>115.4732432</v>
      </c>
    </row>
    <row r="49">
      <c r="A49" s="4" t="s">
        <v>137</v>
      </c>
      <c r="B49" s="5">
        <v>110.26</v>
      </c>
      <c r="C49" s="6">
        <f t="shared" si="1"/>
        <v>117.9782</v>
      </c>
      <c r="D49" s="6">
        <f t="shared" si="2"/>
        <v>129.77602</v>
      </c>
      <c r="E49" s="7">
        <v>2.0</v>
      </c>
      <c r="F49" s="8">
        <f t="shared" si="3"/>
        <v>64.88801</v>
      </c>
    </row>
    <row r="50">
      <c r="A50" s="4" t="s">
        <v>138</v>
      </c>
      <c r="B50" s="5">
        <v>105.99</v>
      </c>
      <c r="C50" s="6">
        <f t="shared" si="1"/>
        <v>113.4093</v>
      </c>
      <c r="D50" s="6">
        <f t="shared" si="2"/>
        <v>124.75023</v>
      </c>
      <c r="E50" s="7">
        <v>2.0</v>
      </c>
      <c r="F50" s="8">
        <f t="shared" si="3"/>
        <v>62.375115</v>
      </c>
    </row>
    <row r="51">
      <c r="A51" s="4" t="s">
        <v>139</v>
      </c>
      <c r="B51" s="5">
        <v>101.99</v>
      </c>
      <c r="C51" s="6">
        <f t="shared" si="1"/>
        <v>109.1293</v>
      </c>
      <c r="D51" s="6">
        <f t="shared" si="2"/>
        <v>120.04223</v>
      </c>
      <c r="E51" s="7">
        <v>1.0</v>
      </c>
      <c r="F51" s="8">
        <f t="shared" si="3"/>
        <v>120.04223</v>
      </c>
    </row>
    <row r="52">
      <c r="A52" s="4" t="s">
        <v>44</v>
      </c>
      <c r="B52" s="5">
        <v>119.99</v>
      </c>
      <c r="C52" s="6">
        <f t="shared" si="1"/>
        <v>128.3893</v>
      </c>
      <c r="D52" s="6">
        <f t="shared" si="2"/>
        <v>141.22823</v>
      </c>
      <c r="E52" s="7">
        <v>2.0</v>
      </c>
      <c r="F52" s="8">
        <f t="shared" si="3"/>
        <v>70.614115</v>
      </c>
    </row>
    <row r="53">
      <c r="A53" s="4" t="s">
        <v>45</v>
      </c>
      <c r="B53" s="5">
        <v>115.99</v>
      </c>
      <c r="C53" s="6">
        <f t="shared" si="1"/>
        <v>124.1093</v>
      </c>
      <c r="D53" s="6">
        <f t="shared" si="2"/>
        <v>136.52023</v>
      </c>
      <c r="E53" s="7">
        <v>1.0</v>
      </c>
      <c r="F53" s="8">
        <f t="shared" si="3"/>
        <v>136.52023</v>
      </c>
    </row>
    <row r="54">
      <c r="A54" s="4" t="s">
        <v>46</v>
      </c>
      <c r="B54" s="5">
        <v>125.0</v>
      </c>
      <c r="C54" s="6">
        <f t="shared" si="1"/>
        <v>133.75</v>
      </c>
      <c r="D54" s="6">
        <f t="shared" si="2"/>
        <v>147.125</v>
      </c>
      <c r="E54" s="7">
        <v>1.5</v>
      </c>
      <c r="F54" s="8">
        <f t="shared" si="3"/>
        <v>98.08333333</v>
      </c>
    </row>
    <row r="55">
      <c r="A55" s="4" t="s">
        <v>48</v>
      </c>
      <c r="B55" s="5">
        <v>152.99</v>
      </c>
      <c r="C55" s="6">
        <f t="shared" si="1"/>
        <v>163.6993</v>
      </c>
      <c r="D55" s="6">
        <f t="shared" si="2"/>
        <v>180.06923</v>
      </c>
      <c r="E55" s="7">
        <v>1.0</v>
      </c>
      <c r="F55" s="8">
        <f t="shared" si="3"/>
        <v>180.06923</v>
      </c>
    </row>
    <row r="56">
      <c r="A56" s="4" t="s">
        <v>49</v>
      </c>
      <c r="B56" s="5">
        <v>152.99</v>
      </c>
      <c r="C56" s="6">
        <f t="shared" si="1"/>
        <v>163.6993</v>
      </c>
      <c r="D56" s="6">
        <f t="shared" si="2"/>
        <v>180.06923</v>
      </c>
      <c r="E56" s="7">
        <v>1.0</v>
      </c>
      <c r="F56" s="8">
        <f t="shared" si="3"/>
        <v>180.06923</v>
      </c>
    </row>
    <row r="57">
      <c r="A57" s="4" t="s">
        <v>50</v>
      </c>
      <c r="B57" s="5">
        <v>16.0</v>
      </c>
      <c r="C57" s="6">
        <f t="shared" si="1"/>
        <v>17.12</v>
      </c>
      <c r="D57" s="6">
        <f t="shared" si="2"/>
        <v>18.832</v>
      </c>
      <c r="E57" s="7">
        <v>0.16</v>
      </c>
      <c r="F57" s="8">
        <f t="shared" si="3"/>
        <v>117.7</v>
      </c>
    </row>
    <row r="58">
      <c r="A58" s="4" t="s">
        <v>51</v>
      </c>
      <c r="B58" s="5">
        <v>20.5</v>
      </c>
      <c r="C58" s="6">
        <f t="shared" si="1"/>
        <v>21.935</v>
      </c>
      <c r="D58" s="6">
        <f t="shared" si="2"/>
        <v>24.1285</v>
      </c>
      <c r="E58" s="7">
        <v>0.16</v>
      </c>
      <c r="F58" s="8">
        <f t="shared" si="3"/>
        <v>150.803125</v>
      </c>
    </row>
    <row r="59">
      <c r="A59" s="4" t="s">
        <v>140</v>
      </c>
      <c r="B59" s="5">
        <v>11.43</v>
      </c>
      <c r="C59" s="6">
        <f t="shared" si="1"/>
        <v>12.2301</v>
      </c>
      <c r="D59" s="6">
        <f t="shared" si="2"/>
        <v>13.45311</v>
      </c>
      <c r="E59" s="7">
        <v>0.16</v>
      </c>
      <c r="F59" s="8">
        <f t="shared" si="3"/>
        <v>84.0819375</v>
      </c>
    </row>
    <row r="60">
      <c r="A60" s="4" t="s">
        <v>141</v>
      </c>
      <c r="B60" s="5">
        <v>13.2</v>
      </c>
      <c r="C60" s="6">
        <f t="shared" si="1"/>
        <v>14.124</v>
      </c>
      <c r="D60" s="6">
        <f t="shared" si="2"/>
        <v>15.5364</v>
      </c>
      <c r="E60" s="7">
        <v>0.16</v>
      </c>
      <c r="F60" s="8">
        <f t="shared" si="3"/>
        <v>97.1025</v>
      </c>
    </row>
    <row r="61">
      <c r="A61" s="4" t="s">
        <v>142</v>
      </c>
      <c r="B61" s="5">
        <v>17.6</v>
      </c>
      <c r="C61" s="6">
        <f t="shared" si="1"/>
        <v>18.832</v>
      </c>
      <c r="D61" s="6">
        <f t="shared" si="2"/>
        <v>20.7152</v>
      </c>
      <c r="E61" s="7">
        <v>0.16</v>
      </c>
      <c r="F61" s="8">
        <f t="shared" si="3"/>
        <v>129.47</v>
      </c>
    </row>
    <row r="62">
      <c r="A62" s="4" t="s">
        <v>143</v>
      </c>
      <c r="B62" s="5">
        <v>23.83</v>
      </c>
      <c r="C62" s="6">
        <f t="shared" si="1"/>
        <v>25.4981</v>
      </c>
      <c r="D62" s="6">
        <f t="shared" si="2"/>
        <v>28.04791</v>
      </c>
      <c r="E62" s="7">
        <v>0.16</v>
      </c>
      <c r="F62" s="8">
        <f t="shared" si="3"/>
        <v>175.2994375</v>
      </c>
    </row>
    <row r="63">
      <c r="A63" s="4" t="s">
        <v>144</v>
      </c>
      <c r="B63" s="5">
        <v>29.53</v>
      </c>
      <c r="C63" s="6">
        <f t="shared" si="1"/>
        <v>31.5971</v>
      </c>
      <c r="D63" s="6">
        <f t="shared" si="2"/>
        <v>34.75681</v>
      </c>
      <c r="E63" s="7">
        <v>0.16</v>
      </c>
      <c r="F63" s="8">
        <f t="shared" si="3"/>
        <v>217.2300625</v>
      </c>
    </row>
    <row r="64">
      <c r="A64" s="4" t="s">
        <v>57</v>
      </c>
      <c r="B64" s="5">
        <v>1340.0</v>
      </c>
      <c r="C64" s="6">
        <f t="shared" si="1"/>
        <v>1433.8</v>
      </c>
      <c r="D64" s="6">
        <f t="shared" si="2"/>
        <v>1577.18</v>
      </c>
      <c r="E64" s="7">
        <v>25.0</v>
      </c>
      <c r="F64" s="8">
        <f t="shared" si="3"/>
        <v>63.0872</v>
      </c>
    </row>
    <row r="65">
      <c r="A65" s="4" t="s">
        <v>145</v>
      </c>
      <c r="B65" s="5">
        <v>145.9</v>
      </c>
      <c r="C65" s="6">
        <f t="shared" si="1"/>
        <v>156.113</v>
      </c>
      <c r="D65" s="6">
        <f t="shared" si="2"/>
        <v>171.7243</v>
      </c>
      <c r="E65" s="9">
        <v>15.0</v>
      </c>
      <c r="F65" s="8">
        <f t="shared" si="3"/>
        <v>11.44828667</v>
      </c>
    </row>
    <row r="66">
      <c r="A66" s="4" t="s">
        <v>146</v>
      </c>
      <c r="B66" s="5">
        <v>179.9</v>
      </c>
      <c r="C66" s="6">
        <f t="shared" si="1"/>
        <v>192.493</v>
      </c>
      <c r="D66" s="6">
        <f t="shared" si="2"/>
        <v>211.7423</v>
      </c>
      <c r="E66" s="9">
        <v>15.0</v>
      </c>
      <c r="F66" s="8">
        <f t="shared" si="3"/>
        <v>14.11615333</v>
      </c>
    </row>
    <row r="67">
      <c r="A67" s="4" t="s">
        <v>60</v>
      </c>
      <c r="B67" s="5" t="s">
        <v>102</v>
      </c>
      <c r="C67" s="6" t="str">
        <f t="shared" si="1"/>
        <v>#VALUE!</v>
      </c>
      <c r="D67" s="6" t="str">
        <f t="shared" si="2"/>
        <v>#VALUE!</v>
      </c>
      <c r="E67" s="9">
        <v>15.0</v>
      </c>
      <c r="F67" s="8" t="str">
        <f t="shared" si="3"/>
        <v>#VALUE!</v>
      </c>
    </row>
    <row r="68">
      <c r="A68" s="4" t="s">
        <v>61</v>
      </c>
      <c r="B68" s="5" t="s">
        <v>102</v>
      </c>
      <c r="C68" s="6" t="str">
        <f t="shared" si="1"/>
        <v>#VALUE!</v>
      </c>
      <c r="D68" s="6" t="str">
        <f t="shared" si="2"/>
        <v>#VALUE!</v>
      </c>
      <c r="E68" s="9">
        <v>15.0</v>
      </c>
      <c r="F68" s="8" t="str">
        <f t="shared" si="3"/>
        <v>#VALUE!</v>
      </c>
    </row>
    <row r="69">
      <c r="A69" s="4" t="s">
        <v>62</v>
      </c>
      <c r="B69" s="5" t="s">
        <v>102</v>
      </c>
      <c r="C69" s="6" t="str">
        <f t="shared" si="1"/>
        <v>#VALUE!</v>
      </c>
      <c r="D69" s="6" t="str">
        <f t="shared" si="2"/>
        <v>#VALUE!</v>
      </c>
      <c r="E69" s="9">
        <v>15.0</v>
      </c>
      <c r="F69" s="8" t="str">
        <f t="shared" si="3"/>
        <v>#VALUE!</v>
      </c>
    </row>
    <row r="70">
      <c r="A70" s="4" t="s">
        <v>63</v>
      </c>
      <c r="B70" s="5" t="s">
        <v>102</v>
      </c>
      <c r="C70" s="6" t="str">
        <f t="shared" si="1"/>
        <v>#VALUE!</v>
      </c>
      <c r="D70" s="6" t="str">
        <f t="shared" si="2"/>
        <v>#VALUE!</v>
      </c>
      <c r="E70" s="9">
        <v>15.0</v>
      </c>
      <c r="F70" s="8" t="str">
        <f t="shared" si="3"/>
        <v>#VALUE!</v>
      </c>
    </row>
    <row r="71">
      <c r="A71" s="4" t="s">
        <v>64</v>
      </c>
      <c r="B71" s="5" t="s">
        <v>102</v>
      </c>
      <c r="C71" s="6" t="str">
        <f t="shared" si="1"/>
        <v>#VALUE!</v>
      </c>
      <c r="D71" s="6" t="str">
        <f t="shared" si="2"/>
        <v>#VALUE!</v>
      </c>
      <c r="E71" s="9">
        <v>15.0</v>
      </c>
      <c r="F71" s="8" t="str">
        <f t="shared" si="3"/>
        <v>#VALUE!</v>
      </c>
    </row>
    <row r="72">
      <c r="A72" s="4" t="s">
        <v>65</v>
      </c>
      <c r="B72" s="5" t="s">
        <v>102</v>
      </c>
      <c r="C72" s="6" t="str">
        <f t="shared" si="1"/>
        <v>#VALUE!</v>
      </c>
      <c r="D72" s="6" t="str">
        <f t="shared" si="2"/>
        <v>#VALUE!</v>
      </c>
      <c r="E72" s="9">
        <v>15.0</v>
      </c>
      <c r="F72" s="8" t="str">
        <f t="shared" si="3"/>
        <v>#VALUE!</v>
      </c>
    </row>
    <row r="73">
      <c r="A73" s="4" t="s">
        <v>147</v>
      </c>
      <c r="B73" s="5">
        <v>287.0</v>
      </c>
      <c r="C73" s="6">
        <f t="shared" si="1"/>
        <v>307.09</v>
      </c>
      <c r="D73" s="6">
        <f t="shared" si="2"/>
        <v>337.799</v>
      </c>
      <c r="E73" s="9">
        <v>20.0</v>
      </c>
      <c r="F73" s="8">
        <f t="shared" si="3"/>
        <v>16.88995</v>
      </c>
    </row>
    <row r="74">
      <c r="A74" s="4" t="s">
        <v>148</v>
      </c>
      <c r="B74" s="5">
        <v>404.0</v>
      </c>
      <c r="C74" s="6">
        <f t="shared" si="1"/>
        <v>432.28</v>
      </c>
      <c r="D74" s="6">
        <f t="shared" si="2"/>
        <v>475.508</v>
      </c>
      <c r="E74" s="9">
        <v>30.0</v>
      </c>
      <c r="F74" s="8">
        <f t="shared" si="3"/>
        <v>15.85026667</v>
      </c>
    </row>
    <row r="75">
      <c r="A75" s="4" t="s">
        <v>149</v>
      </c>
      <c r="B75" s="5">
        <v>860.0</v>
      </c>
      <c r="C75" s="6">
        <f t="shared" si="1"/>
        <v>920.2</v>
      </c>
      <c r="D75" s="6">
        <f t="shared" si="2"/>
        <v>1012.22</v>
      </c>
      <c r="E75" s="7">
        <v>10.0</v>
      </c>
      <c r="F75" s="8">
        <f t="shared" si="3"/>
        <v>101.222</v>
      </c>
    </row>
    <row r="76">
      <c r="A76" s="4" t="s">
        <v>150</v>
      </c>
      <c r="B76" s="5">
        <v>430.0</v>
      </c>
      <c r="C76" s="6">
        <f t="shared" si="1"/>
        <v>460.1</v>
      </c>
      <c r="D76" s="6">
        <f t="shared" si="2"/>
        <v>506.11</v>
      </c>
      <c r="E76" s="7">
        <v>5.0</v>
      </c>
      <c r="F76" s="8">
        <f t="shared" si="3"/>
        <v>101.222</v>
      </c>
    </row>
    <row r="77">
      <c r="A77" s="4" t="s">
        <v>151</v>
      </c>
      <c r="B77" s="5">
        <v>931.0</v>
      </c>
      <c r="C77" s="6">
        <f t="shared" si="1"/>
        <v>996.17</v>
      </c>
      <c r="D77" s="6">
        <f t="shared" si="2"/>
        <v>1095.787</v>
      </c>
      <c r="E77" s="7">
        <v>10.0</v>
      </c>
      <c r="F77" s="8">
        <f t="shared" si="3"/>
        <v>109.5787</v>
      </c>
    </row>
    <row r="78">
      <c r="A78" s="4" t="s">
        <v>152</v>
      </c>
      <c r="B78" s="5">
        <v>375.5</v>
      </c>
      <c r="C78" s="6">
        <f t="shared" si="1"/>
        <v>401.785</v>
      </c>
      <c r="D78" s="6">
        <f t="shared" si="2"/>
        <v>441.9635</v>
      </c>
      <c r="E78" s="7">
        <v>20.0</v>
      </c>
      <c r="F78" s="8">
        <f t="shared" si="3"/>
        <v>22.098175</v>
      </c>
    </row>
    <row r="79">
      <c r="A79" s="4" t="s">
        <v>153</v>
      </c>
      <c r="B79" s="5">
        <v>154.4</v>
      </c>
      <c r="C79" s="6">
        <f t="shared" si="1"/>
        <v>165.208</v>
      </c>
      <c r="D79" s="6">
        <f t="shared" si="2"/>
        <v>181.7288</v>
      </c>
      <c r="E79" s="9">
        <v>3.0</v>
      </c>
      <c r="F79" s="8">
        <f t="shared" si="3"/>
        <v>60.57626667</v>
      </c>
    </row>
    <row r="80">
      <c r="A80" s="4" t="s">
        <v>154</v>
      </c>
      <c r="B80" s="5">
        <v>34.0</v>
      </c>
      <c r="C80" s="6">
        <f t="shared" si="1"/>
        <v>36.38</v>
      </c>
      <c r="D80" s="6">
        <f t="shared" si="2"/>
        <v>40.018</v>
      </c>
      <c r="E80" s="9">
        <v>20.0</v>
      </c>
      <c r="F80" s="8">
        <f t="shared" si="3"/>
        <v>2.0009</v>
      </c>
    </row>
    <row r="81">
      <c r="A81" s="4" t="s">
        <v>155</v>
      </c>
      <c r="B81" s="5">
        <v>58.0</v>
      </c>
      <c r="C81" s="6">
        <f t="shared" si="1"/>
        <v>62.06</v>
      </c>
      <c r="D81" s="6">
        <f t="shared" si="2"/>
        <v>68.266</v>
      </c>
      <c r="E81" s="9">
        <v>20.0</v>
      </c>
      <c r="F81" s="8">
        <f t="shared" si="3"/>
        <v>3.4133</v>
      </c>
    </row>
    <row r="82">
      <c r="A82" s="4" t="s">
        <v>156</v>
      </c>
      <c r="B82" s="5">
        <v>44.5</v>
      </c>
      <c r="C82" s="6">
        <f t="shared" si="1"/>
        <v>47.615</v>
      </c>
      <c r="D82" s="6">
        <f t="shared" si="2"/>
        <v>52.3765</v>
      </c>
      <c r="E82" s="10">
        <v>1.0</v>
      </c>
      <c r="F82" s="8">
        <f t="shared" si="3"/>
        <v>52.3765</v>
      </c>
    </row>
    <row r="83">
      <c r="A83" s="4" t="s">
        <v>157</v>
      </c>
      <c r="B83" s="5">
        <v>100.0</v>
      </c>
      <c r="C83" s="6">
        <f t="shared" si="1"/>
        <v>107</v>
      </c>
      <c r="D83" s="6">
        <f t="shared" si="2"/>
        <v>117.7</v>
      </c>
      <c r="E83" s="10">
        <v>20.0</v>
      </c>
      <c r="F83" s="8">
        <f t="shared" si="3"/>
        <v>5.885</v>
      </c>
    </row>
    <row r="84">
      <c r="A84" s="4" t="s">
        <v>158</v>
      </c>
      <c r="B84" s="5">
        <v>12.0</v>
      </c>
      <c r="C84" s="6">
        <f t="shared" si="1"/>
        <v>12.84</v>
      </c>
      <c r="D84" s="6">
        <f t="shared" si="2"/>
        <v>14.124</v>
      </c>
      <c r="E84" s="10">
        <v>75.0</v>
      </c>
      <c r="F84" s="8">
        <f t="shared" si="3"/>
        <v>0.18832</v>
      </c>
    </row>
    <row r="85">
      <c r="A85" s="4" t="s">
        <v>159</v>
      </c>
      <c r="B85" s="26"/>
      <c r="C85" s="6">
        <f t="shared" si="1"/>
        <v>0</v>
      </c>
      <c r="D85" s="6">
        <f t="shared" si="2"/>
        <v>0</v>
      </c>
      <c r="E85" s="7">
        <v>5.0</v>
      </c>
      <c r="F85" s="8">
        <f t="shared" si="3"/>
        <v>0</v>
      </c>
    </row>
    <row r="86">
      <c r="A86" s="4" t="s">
        <v>160</v>
      </c>
      <c r="B86" s="26"/>
      <c r="C86" s="6">
        <f t="shared" si="1"/>
        <v>0</v>
      </c>
      <c r="D86" s="6">
        <f t="shared" si="2"/>
        <v>0</v>
      </c>
      <c r="E86" s="7">
        <v>5.0</v>
      </c>
      <c r="F86" s="8">
        <f t="shared" si="3"/>
        <v>0</v>
      </c>
    </row>
    <row r="87">
      <c r="A87" s="4" t="s">
        <v>79</v>
      </c>
      <c r="B87" s="5">
        <v>312.0</v>
      </c>
      <c r="C87" s="6">
        <f t="shared" si="1"/>
        <v>333.84</v>
      </c>
      <c r="D87" s="6">
        <f t="shared" si="2"/>
        <v>367.224</v>
      </c>
      <c r="E87" s="7">
        <v>4.0</v>
      </c>
      <c r="F87" s="8">
        <f t="shared" si="3"/>
        <v>91.806</v>
      </c>
    </row>
    <row r="88">
      <c r="A88" s="4" t="s">
        <v>161</v>
      </c>
      <c r="B88" s="5">
        <v>303.0</v>
      </c>
      <c r="C88" s="6">
        <f t="shared" si="1"/>
        <v>324.21</v>
      </c>
      <c r="D88" s="6">
        <f t="shared" si="2"/>
        <v>356.631</v>
      </c>
      <c r="E88" s="7">
        <v>7.5</v>
      </c>
      <c r="F88" s="8">
        <f t="shared" si="3"/>
        <v>47.5508</v>
      </c>
    </row>
    <row r="89">
      <c r="A89" s="4" t="s">
        <v>83</v>
      </c>
      <c r="B89" s="5">
        <v>239.0</v>
      </c>
      <c r="C89" s="6">
        <f t="shared" si="1"/>
        <v>255.73</v>
      </c>
      <c r="D89" s="6">
        <f t="shared" si="2"/>
        <v>281.303</v>
      </c>
      <c r="E89" s="7">
        <v>7.5</v>
      </c>
      <c r="F89" s="8">
        <f t="shared" si="3"/>
        <v>37.50706667</v>
      </c>
    </row>
    <row r="90">
      <c r="A90" s="4" t="s">
        <v>162</v>
      </c>
      <c r="B90" s="5">
        <v>296.0</v>
      </c>
      <c r="C90" s="6">
        <f t="shared" si="1"/>
        <v>316.72</v>
      </c>
      <c r="D90" s="6">
        <f t="shared" si="2"/>
        <v>348.392</v>
      </c>
      <c r="E90" s="7">
        <v>5.0</v>
      </c>
      <c r="F90" s="8">
        <f t="shared" si="3"/>
        <v>69.6784</v>
      </c>
    </row>
    <row r="91">
      <c r="A91" s="4" t="s">
        <v>163</v>
      </c>
      <c r="B91" s="5">
        <v>218.99</v>
      </c>
      <c r="C91" s="6">
        <f t="shared" si="1"/>
        <v>234.3193</v>
      </c>
      <c r="D91" s="6">
        <f t="shared" si="2"/>
        <v>257.75123</v>
      </c>
      <c r="E91" s="7">
        <v>5.0</v>
      </c>
      <c r="F91" s="8">
        <f t="shared" si="3"/>
        <v>51.550246</v>
      </c>
    </row>
    <row r="92">
      <c r="A92" s="4" t="s">
        <v>164</v>
      </c>
      <c r="B92" s="5">
        <v>296.5</v>
      </c>
      <c r="C92" s="6">
        <f t="shared" si="1"/>
        <v>317.255</v>
      </c>
      <c r="D92" s="6">
        <f t="shared" si="2"/>
        <v>348.9805</v>
      </c>
      <c r="E92" s="7">
        <v>4.0</v>
      </c>
      <c r="F92" s="8">
        <f t="shared" si="3"/>
        <v>87.245125</v>
      </c>
    </row>
    <row r="93">
      <c r="A93" s="4" t="s">
        <v>165</v>
      </c>
      <c r="B93" s="5">
        <v>218.0</v>
      </c>
      <c r="C93" s="6">
        <f t="shared" si="1"/>
        <v>233.26</v>
      </c>
      <c r="D93" s="6">
        <f t="shared" si="2"/>
        <v>256.586</v>
      </c>
      <c r="E93" s="7">
        <v>10.0</v>
      </c>
      <c r="F93" s="8">
        <f t="shared" si="3"/>
        <v>25.6586</v>
      </c>
    </row>
    <row r="94">
      <c r="A94" s="4" t="s">
        <v>166</v>
      </c>
      <c r="B94" s="5">
        <v>156.0</v>
      </c>
      <c r="C94" s="6">
        <f t="shared" si="1"/>
        <v>166.92</v>
      </c>
      <c r="D94" s="6">
        <f t="shared" si="2"/>
        <v>183.612</v>
      </c>
      <c r="E94" s="7">
        <v>10.0</v>
      </c>
      <c r="F94" s="8">
        <f t="shared" si="3"/>
        <v>18.3612</v>
      </c>
    </row>
    <row r="95">
      <c r="A95" s="4" t="s">
        <v>167</v>
      </c>
      <c r="B95" s="26"/>
      <c r="C95" s="6">
        <f t="shared" si="1"/>
        <v>0</v>
      </c>
      <c r="D95" s="6">
        <f t="shared" si="2"/>
        <v>0</v>
      </c>
      <c r="E95" s="7">
        <v>10.0</v>
      </c>
      <c r="F95" s="8">
        <f t="shared" si="3"/>
        <v>0</v>
      </c>
    </row>
    <row r="96">
      <c r="A96" s="4" t="s">
        <v>168</v>
      </c>
      <c r="B96" s="5">
        <v>194.0</v>
      </c>
      <c r="C96" s="6">
        <f t="shared" si="1"/>
        <v>207.58</v>
      </c>
      <c r="D96" s="6">
        <f t="shared" si="2"/>
        <v>228.338</v>
      </c>
      <c r="E96" s="7">
        <v>3.333</v>
      </c>
      <c r="F96" s="8">
        <f t="shared" si="3"/>
        <v>68.50825083</v>
      </c>
    </row>
    <row r="97">
      <c r="A97" s="4" t="s">
        <v>169</v>
      </c>
      <c r="B97" s="5">
        <v>158.3</v>
      </c>
      <c r="C97" s="6">
        <f t="shared" si="1"/>
        <v>169.381</v>
      </c>
      <c r="D97" s="6">
        <f t="shared" si="2"/>
        <v>186.3191</v>
      </c>
      <c r="E97" s="7">
        <v>3.0</v>
      </c>
      <c r="F97" s="8">
        <f t="shared" si="3"/>
        <v>62.10636667</v>
      </c>
    </row>
    <row r="98">
      <c r="A98" s="4" t="s">
        <v>170</v>
      </c>
      <c r="B98" s="5">
        <v>46.0</v>
      </c>
      <c r="C98" s="6">
        <f t="shared" si="1"/>
        <v>49.22</v>
      </c>
      <c r="D98" s="6">
        <f t="shared" si="2"/>
        <v>54.142</v>
      </c>
      <c r="E98" s="7">
        <v>25.0</v>
      </c>
      <c r="F98" s="8">
        <f t="shared" si="3"/>
        <v>2.16568</v>
      </c>
    </row>
    <row r="99">
      <c r="A99" s="4" t="s">
        <v>88</v>
      </c>
      <c r="B99" s="5">
        <v>2459.0</v>
      </c>
      <c r="C99" s="6">
        <f t="shared" si="1"/>
        <v>2631.13</v>
      </c>
      <c r="D99" s="6">
        <f t="shared" si="2"/>
        <v>2894.243</v>
      </c>
      <c r="E99" s="7">
        <v>32.47</v>
      </c>
      <c r="F99" s="8">
        <f t="shared" si="3"/>
        <v>89.13591007</v>
      </c>
    </row>
    <row r="100">
      <c r="A100" s="4" t="s">
        <v>89</v>
      </c>
      <c r="B100" s="5">
        <v>2459.0</v>
      </c>
      <c r="C100" s="6">
        <f t="shared" si="1"/>
        <v>2631.13</v>
      </c>
      <c r="D100" s="6">
        <f t="shared" si="2"/>
        <v>2894.243</v>
      </c>
      <c r="E100" s="7">
        <v>24.35</v>
      </c>
      <c r="F100" s="8">
        <f t="shared" si="3"/>
        <v>118.8600821</v>
      </c>
    </row>
    <row r="101">
      <c r="A101" s="4" t="s">
        <v>90</v>
      </c>
      <c r="B101" s="5" t="s">
        <v>102</v>
      </c>
      <c r="C101" s="6" t="str">
        <f t="shared" si="1"/>
        <v>#VALUE!</v>
      </c>
      <c r="D101" s="6" t="str">
        <f t="shared" si="2"/>
        <v>#VALUE!</v>
      </c>
      <c r="E101" s="7">
        <v>12.0</v>
      </c>
      <c r="F101" s="8" t="str">
        <f t="shared" si="3"/>
        <v>#VALUE!</v>
      </c>
    </row>
    <row r="102">
      <c r="A102" s="4" t="s">
        <v>91</v>
      </c>
      <c r="B102" s="5" t="s">
        <v>102</v>
      </c>
      <c r="C102" s="6" t="str">
        <f t="shared" si="1"/>
        <v>#VALUE!</v>
      </c>
      <c r="D102" s="6" t="str">
        <f t="shared" si="2"/>
        <v>#VALUE!</v>
      </c>
      <c r="E102" s="7">
        <v>10.0</v>
      </c>
      <c r="F102" s="8" t="str">
        <f t="shared" si="3"/>
        <v>#VALUE!</v>
      </c>
    </row>
    <row r="103">
      <c r="A103" s="4" t="s">
        <v>92</v>
      </c>
      <c r="B103" s="5" t="s">
        <v>102</v>
      </c>
      <c r="C103" s="6" t="str">
        <f t="shared" si="1"/>
        <v>#VALUE!</v>
      </c>
      <c r="D103" s="6" t="str">
        <f t="shared" si="2"/>
        <v>#VALUE!</v>
      </c>
      <c r="E103" s="7">
        <v>6.0</v>
      </c>
      <c r="F103" s="8" t="str">
        <f t="shared" si="3"/>
        <v>#VALUE!</v>
      </c>
    </row>
    <row r="104">
      <c r="A104" s="4" t="s">
        <v>93</v>
      </c>
      <c r="B104" s="5" t="s">
        <v>102</v>
      </c>
      <c r="C104" s="6" t="str">
        <f t="shared" si="1"/>
        <v>#VALUE!</v>
      </c>
      <c r="D104" s="6" t="str">
        <f t="shared" si="2"/>
        <v>#VALUE!</v>
      </c>
      <c r="E104" s="7">
        <v>20.0</v>
      </c>
      <c r="F104" s="8" t="str">
        <f t="shared" si="3"/>
        <v>#VALUE!</v>
      </c>
    </row>
    <row r="105">
      <c r="A105" s="4" t="s">
        <v>94</v>
      </c>
      <c r="B105" s="5" t="s">
        <v>102</v>
      </c>
      <c r="C105" s="6" t="str">
        <f t="shared" si="1"/>
        <v>#VALUE!</v>
      </c>
      <c r="D105" s="6" t="str">
        <f t="shared" si="2"/>
        <v>#VALUE!</v>
      </c>
      <c r="E105" s="9">
        <v>3.0</v>
      </c>
      <c r="F105" s="8" t="str">
        <f t="shared" si="3"/>
        <v>#VALUE!</v>
      </c>
    </row>
    <row r="106">
      <c r="A106" s="4" t="s">
        <v>95</v>
      </c>
      <c r="B106" s="5" t="s">
        <v>102</v>
      </c>
      <c r="C106" s="6" t="str">
        <f t="shared" si="1"/>
        <v>#VALUE!</v>
      </c>
      <c r="D106" s="6" t="str">
        <f t="shared" si="2"/>
        <v>#VALUE!</v>
      </c>
      <c r="E106" s="9">
        <v>20.0</v>
      </c>
      <c r="F106" s="8" t="str">
        <f t="shared" si="3"/>
        <v>#VALUE!</v>
      </c>
    </row>
    <row r="107">
      <c r="A107" s="4" t="s">
        <v>96</v>
      </c>
      <c r="B107" s="5" t="s">
        <v>102</v>
      </c>
      <c r="C107" s="6" t="str">
        <f t="shared" si="1"/>
        <v>#VALUE!</v>
      </c>
      <c r="D107" s="6" t="str">
        <f t="shared" si="2"/>
        <v>#VALUE!</v>
      </c>
      <c r="E107" s="9">
        <v>20.0</v>
      </c>
      <c r="F107" s="8" t="str">
        <f t="shared" si="3"/>
        <v>#VALUE!</v>
      </c>
    </row>
    <row r="108">
      <c r="A108" s="4" t="s">
        <v>97</v>
      </c>
      <c r="B108" s="5" t="s">
        <v>102</v>
      </c>
      <c r="C108" s="6" t="str">
        <f t="shared" si="1"/>
        <v>#VALUE!</v>
      </c>
      <c r="D108" s="6" t="str">
        <f t="shared" si="2"/>
        <v>#VALUE!</v>
      </c>
      <c r="E108" s="10">
        <v>1.0</v>
      </c>
      <c r="F108" s="8" t="str">
        <f t="shared" si="3"/>
        <v>#VALUE!</v>
      </c>
    </row>
    <row r="109">
      <c r="A109" s="4" t="s">
        <v>98</v>
      </c>
      <c r="B109" s="5" t="s">
        <v>102</v>
      </c>
      <c r="C109" s="6" t="str">
        <f t="shared" si="1"/>
        <v>#VALUE!</v>
      </c>
      <c r="D109" s="6" t="str">
        <f t="shared" si="2"/>
        <v>#VALUE!</v>
      </c>
      <c r="E109" s="10">
        <v>20.0</v>
      </c>
      <c r="F109" s="8" t="str">
        <f t="shared" si="3"/>
        <v>#VALUE!</v>
      </c>
    </row>
    <row r="110">
      <c r="A110" s="4" t="s">
        <v>99</v>
      </c>
      <c r="B110" s="11" t="s">
        <v>102</v>
      </c>
      <c r="C110" s="6" t="str">
        <f t="shared" si="1"/>
        <v>#VALUE!</v>
      </c>
      <c r="D110" s="6" t="str">
        <f t="shared" si="2"/>
        <v>#VALUE!</v>
      </c>
      <c r="E110" s="7">
        <v>7.0</v>
      </c>
      <c r="F110" s="8" t="str">
        <f t="shared" si="3"/>
        <v>#VALUE!</v>
      </c>
    </row>
    <row r="111">
      <c r="A111" s="4" t="s">
        <v>100</v>
      </c>
      <c r="B111" s="5" t="s">
        <v>102</v>
      </c>
      <c r="C111" s="6" t="str">
        <f t="shared" si="1"/>
        <v>#VALUE!</v>
      </c>
      <c r="D111" s="6" t="str">
        <f t="shared" si="2"/>
        <v>#VALUE!</v>
      </c>
      <c r="E111" s="10">
        <v>75.0</v>
      </c>
      <c r="F111" s="8" t="str">
        <f t="shared" si="3"/>
        <v>#VALUE!</v>
      </c>
    </row>
    <row r="112">
      <c r="A112" s="20" t="s">
        <v>171</v>
      </c>
      <c r="B112" s="21">
        <v>160.0</v>
      </c>
      <c r="C112" s="22">
        <f t="shared" si="1"/>
        <v>171.2</v>
      </c>
      <c r="D112" s="22">
        <f t="shared" si="2"/>
        <v>188.32</v>
      </c>
      <c r="E112" s="23">
        <v>15.0</v>
      </c>
      <c r="F112" s="24">
        <f t="shared" si="3"/>
        <v>12.55466667</v>
      </c>
    </row>
    <row r="113">
      <c r="A113" s="4" t="s">
        <v>118</v>
      </c>
      <c r="B113" s="11">
        <v>168.6</v>
      </c>
      <c r="C113" s="6">
        <f t="shared" si="1"/>
        <v>180.402</v>
      </c>
      <c r="D113" s="6">
        <f t="shared" si="2"/>
        <v>198.4422</v>
      </c>
      <c r="E113" s="7">
        <v>7.5</v>
      </c>
      <c r="F113" s="8">
        <f t="shared" si="3"/>
        <v>26.45896</v>
      </c>
    </row>
    <row r="114">
      <c r="A114" s="4" t="s">
        <v>119</v>
      </c>
      <c r="B114" s="25">
        <v>37.44</v>
      </c>
      <c r="C114" s="6">
        <f t="shared" si="1"/>
        <v>40.0608</v>
      </c>
      <c r="D114" s="6">
        <f t="shared" si="2"/>
        <v>44.06688</v>
      </c>
      <c r="E114" s="7">
        <v>1.0</v>
      </c>
      <c r="F114" s="8">
        <f t="shared" si="3"/>
        <v>44.06688</v>
      </c>
    </row>
    <row r="115">
      <c r="A115" s="4" t="s">
        <v>121</v>
      </c>
      <c r="B115" s="11">
        <v>12.75</v>
      </c>
      <c r="C115" s="6">
        <f t="shared" si="1"/>
        <v>13.6425</v>
      </c>
      <c r="D115" s="6">
        <f t="shared" si="2"/>
        <v>15.00675</v>
      </c>
      <c r="E115" s="7">
        <v>1.0</v>
      </c>
      <c r="F115" s="8">
        <f t="shared" si="3"/>
        <v>15.00675</v>
      </c>
    </row>
    <row r="116">
      <c r="A116" s="12"/>
      <c r="B116" s="13"/>
      <c r="C116" s="6">
        <f t="shared" si="1"/>
        <v>0</v>
      </c>
      <c r="D116" s="6">
        <f t="shared" si="2"/>
        <v>0</v>
      </c>
      <c r="E116" s="7"/>
      <c r="F116" s="8" t="str">
        <f t="shared" si="3"/>
        <v>#DIV/0!</v>
      </c>
    </row>
    <row r="117">
      <c r="A117" s="12"/>
      <c r="B117" s="13"/>
      <c r="C117" s="6">
        <f t="shared" si="1"/>
        <v>0</v>
      </c>
      <c r="D117" s="6">
        <f t="shared" si="2"/>
        <v>0</v>
      </c>
      <c r="E117" s="7"/>
      <c r="F117" s="8" t="str">
        <f t="shared" si="3"/>
        <v>#DIV/0!</v>
      </c>
    </row>
    <row r="118">
      <c r="A118" s="12"/>
      <c r="B118" s="13"/>
      <c r="C118" s="6">
        <f t="shared" si="1"/>
        <v>0</v>
      </c>
      <c r="D118" s="6">
        <f t="shared" si="2"/>
        <v>0</v>
      </c>
      <c r="E118" s="7"/>
      <c r="F118" s="8" t="str">
        <f t="shared" si="3"/>
        <v>#DIV/0!</v>
      </c>
    </row>
    <row r="119">
      <c r="A119" s="12"/>
      <c r="B119" s="13"/>
      <c r="C119" s="6">
        <f t="shared" si="1"/>
        <v>0</v>
      </c>
      <c r="D119" s="6">
        <f t="shared" si="2"/>
        <v>0</v>
      </c>
      <c r="E119" s="7"/>
      <c r="F119" s="8" t="str">
        <f t="shared" si="3"/>
        <v>#DIV/0!</v>
      </c>
    </row>
    <row r="120">
      <c r="A120" s="12"/>
      <c r="B120" s="13"/>
      <c r="C120" s="6">
        <f t="shared" si="1"/>
        <v>0</v>
      </c>
      <c r="D120" s="6">
        <f t="shared" si="2"/>
        <v>0</v>
      </c>
      <c r="E120" s="7"/>
      <c r="F120" s="8" t="str">
        <f t="shared" si="3"/>
        <v>#DIV/0!</v>
      </c>
    </row>
    <row r="121">
      <c r="A121" s="12"/>
      <c r="B121" s="13"/>
      <c r="C121" s="6">
        <f t="shared" si="1"/>
        <v>0</v>
      </c>
      <c r="D121" s="6">
        <f t="shared" si="2"/>
        <v>0</v>
      </c>
      <c r="E121" s="7"/>
      <c r="F121" s="8" t="str">
        <f t="shared" si="3"/>
        <v>#DIV/0!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63"/>
    <col customWidth="1" min="6" max="6" width="16.0"/>
  </cols>
  <sheetData>
    <row r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121" si="1">B2*1.07</f>
        <v>72.7493</v>
      </c>
      <c r="D2" s="6">
        <f t="shared" ref="D2:D121" si="2">C2*1.1</f>
        <v>80.02423</v>
      </c>
      <c r="E2" s="7">
        <v>12.5</v>
      </c>
      <c r="F2" s="8">
        <f t="shared" ref="F2:F121" si="3">D2/E2</f>
        <v>6.4019384</v>
      </c>
    </row>
    <row r="3">
      <c r="A3" s="4" t="s">
        <v>126</v>
      </c>
      <c r="B3" s="5">
        <v>77.99</v>
      </c>
      <c r="C3" s="6">
        <f t="shared" si="1"/>
        <v>83.4493</v>
      </c>
      <c r="D3" s="6">
        <f t="shared" si="2"/>
        <v>91.79423</v>
      </c>
      <c r="E3" s="7">
        <v>50.0</v>
      </c>
      <c r="F3" s="8">
        <f t="shared" si="3"/>
        <v>1.8358846</v>
      </c>
    </row>
    <row r="4">
      <c r="A4" s="4" t="s">
        <v>7</v>
      </c>
      <c r="B4" s="5">
        <v>95.0</v>
      </c>
      <c r="C4" s="6">
        <f t="shared" si="1"/>
        <v>101.65</v>
      </c>
      <c r="D4" s="6">
        <f t="shared" si="2"/>
        <v>111.815</v>
      </c>
      <c r="E4" s="7">
        <v>20.0</v>
      </c>
      <c r="F4" s="8">
        <f t="shared" si="3"/>
        <v>5.59075</v>
      </c>
    </row>
    <row r="5">
      <c r="A5" s="4" t="s">
        <v>8</v>
      </c>
      <c r="B5" s="5">
        <v>40.0</v>
      </c>
      <c r="C5" s="6">
        <f t="shared" si="1"/>
        <v>42.8</v>
      </c>
      <c r="D5" s="6">
        <f t="shared" si="2"/>
        <v>47.08</v>
      </c>
      <c r="E5" s="7">
        <v>0.32</v>
      </c>
      <c r="F5" s="8">
        <f t="shared" si="3"/>
        <v>147.125</v>
      </c>
    </row>
    <row r="6">
      <c r="A6" s="4" t="s">
        <v>127</v>
      </c>
      <c r="B6" s="5">
        <v>10.5</v>
      </c>
      <c r="C6" s="6">
        <f t="shared" si="1"/>
        <v>11.235</v>
      </c>
      <c r="D6" s="6">
        <f t="shared" si="2"/>
        <v>12.3585</v>
      </c>
      <c r="E6" s="7">
        <v>0.06</v>
      </c>
      <c r="F6" s="8">
        <f t="shared" si="3"/>
        <v>205.975</v>
      </c>
    </row>
    <row r="7">
      <c r="A7" s="4" t="s">
        <v>128</v>
      </c>
      <c r="B7" s="5">
        <v>14.0</v>
      </c>
      <c r="C7" s="6">
        <f t="shared" si="1"/>
        <v>14.98</v>
      </c>
      <c r="D7" s="6">
        <f t="shared" si="2"/>
        <v>16.478</v>
      </c>
      <c r="E7" s="7">
        <v>0.08</v>
      </c>
      <c r="F7" s="8">
        <f t="shared" si="3"/>
        <v>205.975</v>
      </c>
    </row>
    <row r="8">
      <c r="A8" s="4" t="s">
        <v>129</v>
      </c>
      <c r="B8" s="5" t="s">
        <v>102</v>
      </c>
      <c r="C8" s="6" t="str">
        <f t="shared" si="1"/>
        <v>#VALUE!</v>
      </c>
      <c r="D8" s="6" t="str">
        <f t="shared" si="2"/>
        <v>#VALUE!</v>
      </c>
      <c r="E8" s="7">
        <v>0.08</v>
      </c>
      <c r="F8" s="8" t="str">
        <f t="shared" si="3"/>
        <v>#VALUE!</v>
      </c>
    </row>
    <row r="9">
      <c r="A9" s="4" t="s">
        <v>130</v>
      </c>
      <c r="B9" s="5" t="s">
        <v>102</v>
      </c>
      <c r="C9" s="6" t="str">
        <f t="shared" si="1"/>
        <v>#VALUE!</v>
      </c>
      <c r="D9" s="6" t="str">
        <f t="shared" si="2"/>
        <v>#VALUE!</v>
      </c>
      <c r="E9" s="7">
        <v>0.08</v>
      </c>
      <c r="F9" s="8" t="str">
        <f t="shared" si="3"/>
        <v>#VALUE!</v>
      </c>
    </row>
    <row r="10">
      <c r="A10" s="4" t="s">
        <v>11</v>
      </c>
      <c r="B10" s="5" t="s">
        <v>102</v>
      </c>
      <c r="C10" s="6" t="str">
        <f t="shared" si="1"/>
        <v>#VALUE!</v>
      </c>
      <c r="D10" s="6" t="str">
        <f t="shared" si="2"/>
        <v>#VALUE!</v>
      </c>
      <c r="E10" s="7">
        <v>1.0</v>
      </c>
      <c r="F10" s="8" t="str">
        <f t="shared" si="3"/>
        <v>#VALUE!</v>
      </c>
    </row>
    <row r="11">
      <c r="A11" s="4" t="s">
        <v>12</v>
      </c>
      <c r="B11" s="5" t="s">
        <v>102</v>
      </c>
      <c r="C11" s="6" t="str">
        <f t="shared" si="1"/>
        <v>#VALUE!</v>
      </c>
      <c r="D11" s="6" t="str">
        <f t="shared" si="2"/>
        <v>#VALUE!</v>
      </c>
      <c r="E11" s="7">
        <v>1.0</v>
      </c>
      <c r="F11" s="8" t="str">
        <f t="shared" si="3"/>
        <v>#VALUE!</v>
      </c>
    </row>
    <row r="12">
      <c r="A12" s="4" t="s">
        <v>13</v>
      </c>
      <c r="B12" s="5">
        <v>14.0</v>
      </c>
      <c r="C12" s="6">
        <f t="shared" si="1"/>
        <v>14.98</v>
      </c>
      <c r="D12" s="6">
        <f t="shared" si="2"/>
        <v>16.478</v>
      </c>
      <c r="E12" s="7">
        <v>1.0</v>
      </c>
      <c r="F12" s="8">
        <f t="shared" si="3"/>
        <v>16.478</v>
      </c>
    </row>
    <row r="13">
      <c r="A13" s="4" t="s">
        <v>131</v>
      </c>
      <c r="B13" s="5">
        <v>12.0</v>
      </c>
      <c r="C13" s="6">
        <f t="shared" si="1"/>
        <v>12.84</v>
      </c>
      <c r="D13" s="6">
        <f t="shared" si="2"/>
        <v>14.124</v>
      </c>
      <c r="E13" s="7">
        <v>4.0</v>
      </c>
      <c r="F13" s="8">
        <f t="shared" si="3"/>
        <v>3.531</v>
      </c>
    </row>
    <row r="14">
      <c r="A14" s="4" t="s">
        <v>40</v>
      </c>
      <c r="B14" s="5">
        <v>16.0</v>
      </c>
      <c r="C14" s="6">
        <f t="shared" si="1"/>
        <v>17.12</v>
      </c>
      <c r="D14" s="6">
        <f t="shared" si="2"/>
        <v>18.832</v>
      </c>
      <c r="E14" s="7">
        <v>4.0</v>
      </c>
      <c r="F14" s="8">
        <f t="shared" si="3"/>
        <v>4.708</v>
      </c>
    </row>
    <row r="15">
      <c r="A15" s="4" t="s">
        <v>107</v>
      </c>
      <c r="B15" s="5">
        <v>20.5</v>
      </c>
      <c r="C15" s="6">
        <f t="shared" si="1"/>
        <v>21.935</v>
      </c>
      <c r="D15" s="6">
        <f t="shared" si="2"/>
        <v>24.1285</v>
      </c>
      <c r="E15" s="7">
        <v>4.0</v>
      </c>
      <c r="F15" s="8">
        <f t="shared" si="3"/>
        <v>6.032125</v>
      </c>
    </row>
    <row r="16">
      <c r="A16" s="4" t="s">
        <v>108</v>
      </c>
      <c r="B16" s="5">
        <v>28.5</v>
      </c>
      <c r="C16" s="6">
        <f t="shared" si="1"/>
        <v>30.495</v>
      </c>
      <c r="D16" s="6">
        <f t="shared" si="2"/>
        <v>33.5445</v>
      </c>
      <c r="E16" s="7">
        <v>4.0</v>
      </c>
      <c r="F16" s="8">
        <f t="shared" si="3"/>
        <v>8.386125</v>
      </c>
    </row>
    <row r="17">
      <c r="A17" s="4" t="s">
        <v>132</v>
      </c>
      <c r="B17" s="5">
        <v>37.0</v>
      </c>
      <c r="C17" s="6">
        <f t="shared" si="1"/>
        <v>39.59</v>
      </c>
      <c r="D17" s="6">
        <f t="shared" si="2"/>
        <v>43.549</v>
      </c>
      <c r="E17" s="7">
        <v>4.0</v>
      </c>
      <c r="F17" s="8">
        <f t="shared" si="3"/>
        <v>10.88725</v>
      </c>
    </row>
    <row r="18">
      <c r="A18" s="4" t="s">
        <v>41</v>
      </c>
      <c r="B18" s="5">
        <v>46.0</v>
      </c>
      <c r="C18" s="6">
        <f t="shared" si="1"/>
        <v>49.22</v>
      </c>
      <c r="D18" s="6">
        <f t="shared" si="2"/>
        <v>54.142</v>
      </c>
      <c r="E18" s="7">
        <v>4.0</v>
      </c>
      <c r="F18" s="8">
        <f t="shared" si="3"/>
        <v>13.5355</v>
      </c>
    </row>
    <row r="19">
      <c r="A19" s="4" t="s">
        <v>14</v>
      </c>
      <c r="B19" s="5">
        <v>9.0</v>
      </c>
      <c r="C19" s="6">
        <f t="shared" si="1"/>
        <v>9.63</v>
      </c>
      <c r="D19" s="6">
        <f t="shared" si="2"/>
        <v>10.593</v>
      </c>
      <c r="E19" s="7">
        <v>1.0</v>
      </c>
      <c r="F19" s="8">
        <f t="shared" si="3"/>
        <v>10.593</v>
      </c>
    </row>
    <row r="20">
      <c r="A20" s="4" t="s">
        <v>15</v>
      </c>
      <c r="B20" s="5">
        <v>9.25</v>
      </c>
      <c r="C20" s="6">
        <f t="shared" si="1"/>
        <v>9.8975</v>
      </c>
      <c r="D20" s="6">
        <f t="shared" si="2"/>
        <v>10.88725</v>
      </c>
      <c r="E20" s="7">
        <v>1.0</v>
      </c>
      <c r="F20" s="8">
        <f t="shared" si="3"/>
        <v>10.88725</v>
      </c>
    </row>
    <row r="21">
      <c r="A21" s="4" t="s">
        <v>16</v>
      </c>
      <c r="B21" s="5" t="s">
        <v>102</v>
      </c>
      <c r="C21" s="6" t="str">
        <f t="shared" si="1"/>
        <v>#VALUE!</v>
      </c>
      <c r="D21" s="6" t="str">
        <f t="shared" si="2"/>
        <v>#VALUE!</v>
      </c>
      <c r="E21" s="7">
        <v>1.0</v>
      </c>
      <c r="F21" s="8" t="str">
        <f t="shared" si="3"/>
        <v>#VALUE!</v>
      </c>
    </row>
    <row r="22">
      <c r="A22" s="4" t="s">
        <v>19</v>
      </c>
      <c r="B22" s="5">
        <v>21.5</v>
      </c>
      <c r="C22" s="6">
        <f t="shared" si="1"/>
        <v>23.005</v>
      </c>
      <c r="D22" s="6">
        <f t="shared" si="2"/>
        <v>25.3055</v>
      </c>
      <c r="E22" s="7">
        <v>1.0</v>
      </c>
      <c r="F22" s="8">
        <f t="shared" si="3"/>
        <v>25.3055</v>
      </c>
    </row>
    <row r="23">
      <c r="A23" s="4" t="s">
        <v>103</v>
      </c>
      <c r="B23" s="5" t="s">
        <v>102</v>
      </c>
      <c r="C23" s="6" t="str">
        <f t="shared" si="1"/>
        <v>#VALUE!</v>
      </c>
      <c r="D23" s="6" t="str">
        <f t="shared" si="2"/>
        <v>#VALUE!</v>
      </c>
      <c r="E23" s="7">
        <v>1.0</v>
      </c>
      <c r="F23" s="8" t="str">
        <f t="shared" si="3"/>
        <v>#VALUE!</v>
      </c>
    </row>
    <row r="24">
      <c r="A24" s="4" t="s">
        <v>26</v>
      </c>
      <c r="B24" s="5">
        <v>76.5</v>
      </c>
      <c r="C24" s="6">
        <f t="shared" si="1"/>
        <v>81.855</v>
      </c>
      <c r="D24" s="6">
        <f t="shared" si="2"/>
        <v>90.0405</v>
      </c>
      <c r="E24" s="7">
        <v>10.0</v>
      </c>
      <c r="F24" s="8">
        <f t="shared" si="3"/>
        <v>9.00405</v>
      </c>
    </row>
    <row r="25">
      <c r="A25" s="4" t="s">
        <v>133</v>
      </c>
      <c r="B25" s="5" t="s">
        <v>102</v>
      </c>
      <c r="C25" s="6" t="str">
        <f t="shared" si="1"/>
        <v>#VALUE!</v>
      </c>
      <c r="D25" s="6" t="str">
        <f t="shared" si="2"/>
        <v>#VALUE!</v>
      </c>
      <c r="E25" s="7">
        <v>10.0</v>
      </c>
      <c r="F25" s="8" t="str">
        <f t="shared" si="3"/>
        <v>#VALUE!</v>
      </c>
    </row>
    <row r="26">
      <c r="A26" s="4" t="s">
        <v>27</v>
      </c>
      <c r="B26" s="5">
        <v>9.5</v>
      </c>
      <c r="C26" s="6">
        <f t="shared" si="1"/>
        <v>10.165</v>
      </c>
      <c r="D26" s="6">
        <f t="shared" si="2"/>
        <v>11.1815</v>
      </c>
      <c r="E26" s="7">
        <v>1.0</v>
      </c>
      <c r="F26" s="8">
        <f t="shared" si="3"/>
        <v>11.1815</v>
      </c>
    </row>
    <row r="27">
      <c r="A27" s="4" t="s">
        <v>28</v>
      </c>
      <c r="B27" s="5" t="s">
        <v>102</v>
      </c>
      <c r="C27" s="6" t="str">
        <f t="shared" si="1"/>
        <v>#VALUE!</v>
      </c>
      <c r="D27" s="6" t="str">
        <f t="shared" si="2"/>
        <v>#VALUE!</v>
      </c>
      <c r="E27" s="7">
        <v>1.0</v>
      </c>
      <c r="F27" s="8" t="str">
        <f t="shared" si="3"/>
        <v>#VALUE!</v>
      </c>
    </row>
    <row r="28">
      <c r="A28" s="4" t="s">
        <v>20</v>
      </c>
      <c r="B28" s="5">
        <v>43.99</v>
      </c>
      <c r="C28" s="6">
        <f t="shared" si="1"/>
        <v>47.0693</v>
      </c>
      <c r="D28" s="6">
        <f t="shared" si="2"/>
        <v>51.77623</v>
      </c>
      <c r="E28" s="7">
        <v>2.0</v>
      </c>
      <c r="F28" s="8">
        <f t="shared" si="3"/>
        <v>25.888115</v>
      </c>
    </row>
    <row r="29">
      <c r="A29" s="4" t="s">
        <v>21</v>
      </c>
      <c r="B29" s="5">
        <v>34.75</v>
      </c>
      <c r="C29" s="6">
        <f t="shared" si="1"/>
        <v>37.1825</v>
      </c>
      <c r="D29" s="6">
        <f t="shared" si="2"/>
        <v>40.90075</v>
      </c>
      <c r="E29" s="7">
        <v>2.0</v>
      </c>
      <c r="F29" s="8">
        <f t="shared" si="3"/>
        <v>20.450375</v>
      </c>
    </row>
    <row r="30">
      <c r="A30" s="4" t="s">
        <v>22</v>
      </c>
      <c r="B30" s="5">
        <v>32.0</v>
      </c>
      <c r="C30" s="6">
        <f t="shared" si="1"/>
        <v>34.24</v>
      </c>
      <c r="D30" s="6">
        <f t="shared" si="2"/>
        <v>37.664</v>
      </c>
      <c r="E30" s="7">
        <v>2.0</v>
      </c>
      <c r="F30" s="8">
        <f t="shared" si="3"/>
        <v>18.832</v>
      </c>
    </row>
    <row r="31">
      <c r="A31" s="4" t="s">
        <v>122</v>
      </c>
      <c r="B31" s="5">
        <v>105.0</v>
      </c>
      <c r="C31" s="6">
        <f t="shared" si="1"/>
        <v>112.35</v>
      </c>
      <c r="D31" s="6">
        <f t="shared" si="2"/>
        <v>123.585</v>
      </c>
      <c r="E31" s="7">
        <v>2.0</v>
      </c>
      <c r="F31" s="8">
        <f t="shared" si="3"/>
        <v>61.7925</v>
      </c>
    </row>
    <row r="32">
      <c r="A32" s="4" t="s">
        <v>123</v>
      </c>
      <c r="B32" s="5">
        <v>96.5</v>
      </c>
      <c r="C32" s="6">
        <f t="shared" si="1"/>
        <v>103.255</v>
      </c>
      <c r="D32" s="6">
        <f t="shared" si="2"/>
        <v>113.5805</v>
      </c>
      <c r="E32" s="7">
        <v>2.0</v>
      </c>
      <c r="F32" s="8">
        <f t="shared" si="3"/>
        <v>56.79025</v>
      </c>
    </row>
    <row r="33">
      <c r="A33" s="4" t="s">
        <v>134</v>
      </c>
      <c r="B33" s="5">
        <v>69.0</v>
      </c>
      <c r="C33" s="6">
        <f t="shared" si="1"/>
        <v>73.83</v>
      </c>
      <c r="D33" s="6">
        <f t="shared" si="2"/>
        <v>81.213</v>
      </c>
      <c r="E33" s="7">
        <v>2.0</v>
      </c>
      <c r="F33" s="8">
        <f t="shared" si="3"/>
        <v>40.6065</v>
      </c>
    </row>
    <row r="34">
      <c r="A34" s="4" t="s">
        <v>124</v>
      </c>
      <c r="B34" s="5">
        <v>104.99</v>
      </c>
      <c r="C34" s="6">
        <f t="shared" si="1"/>
        <v>112.3393</v>
      </c>
      <c r="D34" s="6">
        <f t="shared" si="2"/>
        <v>123.57323</v>
      </c>
      <c r="E34" s="7">
        <v>2.0</v>
      </c>
      <c r="F34" s="8">
        <f t="shared" si="3"/>
        <v>61.786615</v>
      </c>
    </row>
    <row r="35">
      <c r="A35" s="4" t="s">
        <v>125</v>
      </c>
      <c r="B35" s="5">
        <v>123.8</v>
      </c>
      <c r="C35" s="6">
        <f t="shared" si="1"/>
        <v>132.466</v>
      </c>
      <c r="D35" s="6">
        <f t="shared" si="2"/>
        <v>145.7126</v>
      </c>
      <c r="E35" s="7">
        <v>1.5</v>
      </c>
      <c r="F35" s="8">
        <f t="shared" si="3"/>
        <v>97.14173333</v>
      </c>
    </row>
    <row r="36">
      <c r="A36" s="4" t="s">
        <v>39</v>
      </c>
      <c r="B36" s="5">
        <v>169.5</v>
      </c>
      <c r="C36" s="6">
        <f t="shared" si="1"/>
        <v>181.365</v>
      </c>
      <c r="D36" s="6">
        <f t="shared" si="2"/>
        <v>199.5015</v>
      </c>
      <c r="E36" s="7">
        <v>3.5</v>
      </c>
      <c r="F36" s="8">
        <f t="shared" si="3"/>
        <v>57.00042857</v>
      </c>
    </row>
    <row r="37">
      <c r="A37" s="4" t="s">
        <v>42</v>
      </c>
      <c r="B37" s="5">
        <v>49.05</v>
      </c>
      <c r="C37" s="6">
        <f t="shared" si="1"/>
        <v>52.4835</v>
      </c>
      <c r="D37" s="6">
        <f t="shared" si="2"/>
        <v>57.73185</v>
      </c>
      <c r="E37" s="7">
        <v>5.0</v>
      </c>
      <c r="F37" s="8">
        <f t="shared" si="3"/>
        <v>11.54637</v>
      </c>
    </row>
    <row r="38">
      <c r="A38" s="4" t="s">
        <v>29</v>
      </c>
      <c r="B38" s="5">
        <v>38.0</v>
      </c>
      <c r="C38" s="6">
        <f t="shared" si="1"/>
        <v>40.66</v>
      </c>
      <c r="D38" s="6">
        <f t="shared" si="2"/>
        <v>44.726</v>
      </c>
      <c r="E38" s="7">
        <v>7.0</v>
      </c>
      <c r="F38" s="8">
        <f t="shared" si="3"/>
        <v>6.389428571</v>
      </c>
    </row>
    <row r="39">
      <c r="A39" s="4" t="s">
        <v>105</v>
      </c>
      <c r="B39" s="5">
        <v>41.99</v>
      </c>
      <c r="C39" s="6">
        <f t="shared" si="1"/>
        <v>44.9293</v>
      </c>
      <c r="D39" s="6">
        <f t="shared" si="2"/>
        <v>49.42223</v>
      </c>
      <c r="E39" s="7">
        <v>5.0</v>
      </c>
      <c r="F39" s="8">
        <f t="shared" si="3"/>
        <v>9.884446</v>
      </c>
    </row>
    <row r="40">
      <c r="A40" s="4" t="s">
        <v>31</v>
      </c>
      <c r="B40" s="5">
        <v>151.99</v>
      </c>
      <c r="C40" s="6">
        <f t="shared" si="1"/>
        <v>162.6293</v>
      </c>
      <c r="D40" s="6">
        <f t="shared" si="2"/>
        <v>178.89223</v>
      </c>
      <c r="E40" s="7">
        <v>2.5</v>
      </c>
      <c r="F40" s="8">
        <f t="shared" si="3"/>
        <v>71.556892</v>
      </c>
    </row>
    <row r="41">
      <c r="A41" s="4" t="s">
        <v>33</v>
      </c>
      <c r="B41" s="5">
        <v>17.5</v>
      </c>
      <c r="C41" s="6">
        <f t="shared" si="1"/>
        <v>18.725</v>
      </c>
      <c r="D41" s="6">
        <f t="shared" si="2"/>
        <v>20.5975</v>
      </c>
      <c r="E41" s="7">
        <v>1.25</v>
      </c>
      <c r="F41" s="8">
        <f t="shared" si="3"/>
        <v>16.478</v>
      </c>
    </row>
    <row r="42">
      <c r="A42" s="4" t="s">
        <v>34</v>
      </c>
      <c r="B42" s="5">
        <v>19.25</v>
      </c>
      <c r="C42" s="6">
        <f t="shared" si="1"/>
        <v>20.5975</v>
      </c>
      <c r="D42" s="6">
        <f t="shared" si="2"/>
        <v>22.65725</v>
      </c>
      <c r="E42" s="7">
        <v>1.25</v>
      </c>
      <c r="F42" s="8">
        <f t="shared" si="3"/>
        <v>18.1258</v>
      </c>
    </row>
    <row r="43">
      <c r="A43" s="4" t="s">
        <v>35</v>
      </c>
      <c r="B43" s="5">
        <v>19.95</v>
      </c>
      <c r="C43" s="6">
        <f t="shared" si="1"/>
        <v>21.3465</v>
      </c>
      <c r="D43" s="6">
        <f t="shared" si="2"/>
        <v>23.48115</v>
      </c>
      <c r="E43" s="7">
        <v>1.25</v>
      </c>
      <c r="F43" s="8">
        <f t="shared" si="3"/>
        <v>18.78492</v>
      </c>
    </row>
    <row r="44">
      <c r="A44" s="4" t="s">
        <v>36</v>
      </c>
      <c r="B44" s="5">
        <v>27.99</v>
      </c>
      <c r="C44" s="6">
        <f t="shared" si="1"/>
        <v>29.9493</v>
      </c>
      <c r="D44" s="6">
        <f t="shared" si="2"/>
        <v>32.94423</v>
      </c>
      <c r="E44" s="7">
        <v>0.333</v>
      </c>
      <c r="F44" s="8">
        <f t="shared" si="3"/>
        <v>98.93162162</v>
      </c>
    </row>
    <row r="45">
      <c r="A45" s="4" t="s">
        <v>135</v>
      </c>
      <c r="B45" s="5">
        <v>50.0</v>
      </c>
      <c r="C45" s="6">
        <f t="shared" si="1"/>
        <v>53.5</v>
      </c>
      <c r="D45" s="6">
        <f t="shared" si="2"/>
        <v>58.85</v>
      </c>
      <c r="E45" s="7">
        <v>20.0</v>
      </c>
      <c r="F45" s="8">
        <f t="shared" si="3"/>
        <v>2.9425</v>
      </c>
    </row>
    <row r="46">
      <c r="A46" s="4" t="s">
        <v>136</v>
      </c>
      <c r="B46" s="5">
        <v>50.0</v>
      </c>
      <c r="C46" s="6">
        <f t="shared" si="1"/>
        <v>53.5</v>
      </c>
      <c r="D46" s="6">
        <f t="shared" si="2"/>
        <v>58.85</v>
      </c>
      <c r="E46" s="7">
        <v>3.0</v>
      </c>
      <c r="F46" s="8">
        <f t="shared" si="3"/>
        <v>19.61666667</v>
      </c>
    </row>
    <row r="47">
      <c r="A47" s="4" t="s">
        <v>106</v>
      </c>
      <c r="B47" s="5">
        <v>32.67</v>
      </c>
      <c r="C47" s="6">
        <f t="shared" si="1"/>
        <v>34.9569</v>
      </c>
      <c r="D47" s="6">
        <f t="shared" si="2"/>
        <v>38.45259</v>
      </c>
      <c r="E47" s="7">
        <v>0.333</v>
      </c>
      <c r="F47" s="8">
        <f t="shared" si="3"/>
        <v>115.4732432</v>
      </c>
    </row>
    <row r="48">
      <c r="A48" s="4" t="s">
        <v>38</v>
      </c>
      <c r="B48" s="5">
        <v>32.67</v>
      </c>
      <c r="C48" s="6">
        <f t="shared" si="1"/>
        <v>34.9569</v>
      </c>
      <c r="D48" s="6">
        <f t="shared" si="2"/>
        <v>38.45259</v>
      </c>
      <c r="E48" s="7">
        <v>0.333</v>
      </c>
      <c r="F48" s="8">
        <f t="shared" si="3"/>
        <v>115.4732432</v>
      </c>
    </row>
    <row r="49">
      <c r="A49" s="4" t="s">
        <v>137</v>
      </c>
      <c r="B49" s="5">
        <v>110.26</v>
      </c>
      <c r="C49" s="6">
        <f t="shared" si="1"/>
        <v>117.9782</v>
      </c>
      <c r="D49" s="6">
        <f t="shared" si="2"/>
        <v>129.77602</v>
      </c>
      <c r="E49" s="7">
        <v>2.0</v>
      </c>
      <c r="F49" s="8">
        <f t="shared" si="3"/>
        <v>64.88801</v>
      </c>
    </row>
    <row r="50">
      <c r="A50" s="4" t="s">
        <v>138</v>
      </c>
      <c r="B50" s="5">
        <v>105.99</v>
      </c>
      <c r="C50" s="6">
        <f t="shared" si="1"/>
        <v>113.4093</v>
      </c>
      <c r="D50" s="6">
        <f t="shared" si="2"/>
        <v>124.75023</v>
      </c>
      <c r="E50" s="7">
        <v>2.0</v>
      </c>
      <c r="F50" s="8">
        <f t="shared" si="3"/>
        <v>62.375115</v>
      </c>
    </row>
    <row r="51">
      <c r="A51" s="4" t="s">
        <v>139</v>
      </c>
      <c r="B51" s="5">
        <v>101.99</v>
      </c>
      <c r="C51" s="6">
        <f t="shared" si="1"/>
        <v>109.1293</v>
      </c>
      <c r="D51" s="6">
        <f t="shared" si="2"/>
        <v>120.04223</v>
      </c>
      <c r="E51" s="7">
        <v>1.0</v>
      </c>
      <c r="F51" s="8">
        <f t="shared" si="3"/>
        <v>120.04223</v>
      </c>
    </row>
    <row r="52">
      <c r="A52" s="4" t="s">
        <v>44</v>
      </c>
      <c r="B52" s="5">
        <v>119.99</v>
      </c>
      <c r="C52" s="6">
        <f t="shared" si="1"/>
        <v>128.3893</v>
      </c>
      <c r="D52" s="6">
        <f t="shared" si="2"/>
        <v>141.22823</v>
      </c>
      <c r="E52" s="7">
        <v>2.0</v>
      </c>
      <c r="F52" s="8">
        <f t="shared" si="3"/>
        <v>70.614115</v>
      </c>
    </row>
    <row r="53">
      <c r="A53" s="4" t="s">
        <v>45</v>
      </c>
      <c r="B53" s="5">
        <v>115.99</v>
      </c>
      <c r="C53" s="6">
        <f t="shared" si="1"/>
        <v>124.1093</v>
      </c>
      <c r="D53" s="6">
        <f t="shared" si="2"/>
        <v>136.52023</v>
      </c>
      <c r="E53" s="7">
        <v>1.0</v>
      </c>
      <c r="F53" s="8">
        <f t="shared" si="3"/>
        <v>136.52023</v>
      </c>
    </row>
    <row r="54">
      <c r="A54" s="4" t="s">
        <v>46</v>
      </c>
      <c r="B54" s="5">
        <v>125.0</v>
      </c>
      <c r="C54" s="6">
        <f t="shared" si="1"/>
        <v>133.75</v>
      </c>
      <c r="D54" s="6">
        <f t="shared" si="2"/>
        <v>147.125</v>
      </c>
      <c r="E54" s="7">
        <v>1.5</v>
      </c>
      <c r="F54" s="8">
        <f t="shared" si="3"/>
        <v>98.08333333</v>
      </c>
    </row>
    <row r="55">
      <c r="A55" s="4" t="s">
        <v>48</v>
      </c>
      <c r="B55" s="5">
        <v>152.99</v>
      </c>
      <c r="C55" s="6">
        <f t="shared" si="1"/>
        <v>163.6993</v>
      </c>
      <c r="D55" s="6">
        <f t="shared" si="2"/>
        <v>180.06923</v>
      </c>
      <c r="E55" s="7">
        <v>1.0</v>
      </c>
      <c r="F55" s="8">
        <f t="shared" si="3"/>
        <v>180.06923</v>
      </c>
    </row>
    <row r="56">
      <c r="A56" s="4" t="s">
        <v>49</v>
      </c>
      <c r="B56" s="5">
        <v>152.99</v>
      </c>
      <c r="C56" s="6">
        <f t="shared" si="1"/>
        <v>163.6993</v>
      </c>
      <c r="D56" s="6">
        <f t="shared" si="2"/>
        <v>180.06923</v>
      </c>
      <c r="E56" s="7">
        <v>1.0</v>
      </c>
      <c r="F56" s="8">
        <f t="shared" si="3"/>
        <v>180.06923</v>
      </c>
    </row>
    <row r="57">
      <c r="A57" s="4" t="s">
        <v>50</v>
      </c>
      <c r="B57" s="5">
        <v>16.0</v>
      </c>
      <c r="C57" s="6">
        <f t="shared" si="1"/>
        <v>17.12</v>
      </c>
      <c r="D57" s="6">
        <f t="shared" si="2"/>
        <v>18.832</v>
      </c>
      <c r="E57" s="7">
        <v>0.16</v>
      </c>
      <c r="F57" s="8">
        <f t="shared" si="3"/>
        <v>117.7</v>
      </c>
    </row>
    <row r="58">
      <c r="A58" s="4" t="s">
        <v>51</v>
      </c>
      <c r="B58" s="5">
        <v>20.5</v>
      </c>
      <c r="C58" s="6">
        <f t="shared" si="1"/>
        <v>21.935</v>
      </c>
      <c r="D58" s="6">
        <f t="shared" si="2"/>
        <v>24.1285</v>
      </c>
      <c r="E58" s="7">
        <v>0.16</v>
      </c>
      <c r="F58" s="8">
        <f t="shared" si="3"/>
        <v>150.803125</v>
      </c>
    </row>
    <row r="59">
      <c r="A59" s="4" t="s">
        <v>140</v>
      </c>
      <c r="B59" s="5">
        <v>11.43</v>
      </c>
      <c r="C59" s="6">
        <f t="shared" si="1"/>
        <v>12.2301</v>
      </c>
      <c r="D59" s="6">
        <f t="shared" si="2"/>
        <v>13.45311</v>
      </c>
      <c r="E59" s="7">
        <v>0.16</v>
      </c>
      <c r="F59" s="8">
        <f t="shared" si="3"/>
        <v>84.0819375</v>
      </c>
    </row>
    <row r="60">
      <c r="A60" s="4" t="s">
        <v>141</v>
      </c>
      <c r="B60" s="5">
        <v>13.2</v>
      </c>
      <c r="C60" s="6">
        <f t="shared" si="1"/>
        <v>14.124</v>
      </c>
      <c r="D60" s="6">
        <f t="shared" si="2"/>
        <v>15.5364</v>
      </c>
      <c r="E60" s="7">
        <v>0.16</v>
      </c>
      <c r="F60" s="8">
        <f t="shared" si="3"/>
        <v>97.1025</v>
      </c>
    </row>
    <row r="61">
      <c r="A61" s="4" t="s">
        <v>142</v>
      </c>
      <c r="B61" s="5">
        <v>17.6</v>
      </c>
      <c r="C61" s="6">
        <f t="shared" si="1"/>
        <v>18.832</v>
      </c>
      <c r="D61" s="6">
        <f t="shared" si="2"/>
        <v>20.7152</v>
      </c>
      <c r="E61" s="7">
        <v>0.16</v>
      </c>
      <c r="F61" s="8">
        <f t="shared" si="3"/>
        <v>129.47</v>
      </c>
    </row>
    <row r="62">
      <c r="A62" s="4" t="s">
        <v>143</v>
      </c>
      <c r="B62" s="5">
        <v>23.83</v>
      </c>
      <c r="C62" s="6">
        <f t="shared" si="1"/>
        <v>25.4981</v>
      </c>
      <c r="D62" s="6">
        <f t="shared" si="2"/>
        <v>28.04791</v>
      </c>
      <c r="E62" s="7">
        <v>0.16</v>
      </c>
      <c r="F62" s="8">
        <f t="shared" si="3"/>
        <v>175.2994375</v>
      </c>
    </row>
    <row r="63">
      <c r="A63" s="4" t="s">
        <v>144</v>
      </c>
      <c r="B63" s="5">
        <v>29.53</v>
      </c>
      <c r="C63" s="6">
        <f t="shared" si="1"/>
        <v>31.5971</v>
      </c>
      <c r="D63" s="6">
        <f t="shared" si="2"/>
        <v>34.75681</v>
      </c>
      <c r="E63" s="7">
        <v>0.16</v>
      </c>
      <c r="F63" s="8">
        <f t="shared" si="3"/>
        <v>217.2300625</v>
      </c>
    </row>
    <row r="64">
      <c r="A64" s="4" t="s">
        <v>57</v>
      </c>
      <c r="B64" s="5">
        <v>1340.0</v>
      </c>
      <c r="C64" s="6">
        <f t="shared" si="1"/>
        <v>1433.8</v>
      </c>
      <c r="D64" s="6">
        <f t="shared" si="2"/>
        <v>1577.18</v>
      </c>
      <c r="E64" s="7">
        <v>25.0</v>
      </c>
      <c r="F64" s="8">
        <f t="shared" si="3"/>
        <v>63.0872</v>
      </c>
    </row>
    <row r="65">
      <c r="A65" s="4" t="s">
        <v>145</v>
      </c>
      <c r="B65" s="5">
        <v>145.9</v>
      </c>
      <c r="C65" s="6">
        <f t="shared" si="1"/>
        <v>156.113</v>
      </c>
      <c r="D65" s="6">
        <f t="shared" si="2"/>
        <v>171.7243</v>
      </c>
      <c r="E65" s="9">
        <v>15.0</v>
      </c>
      <c r="F65" s="8">
        <f t="shared" si="3"/>
        <v>11.44828667</v>
      </c>
    </row>
    <row r="66">
      <c r="A66" s="4" t="s">
        <v>146</v>
      </c>
      <c r="B66" s="5">
        <v>179.9</v>
      </c>
      <c r="C66" s="6">
        <f t="shared" si="1"/>
        <v>192.493</v>
      </c>
      <c r="D66" s="6">
        <f t="shared" si="2"/>
        <v>211.7423</v>
      </c>
      <c r="E66" s="9">
        <v>15.0</v>
      </c>
      <c r="F66" s="8">
        <f t="shared" si="3"/>
        <v>14.11615333</v>
      </c>
    </row>
    <row r="67">
      <c r="A67" s="4" t="s">
        <v>60</v>
      </c>
      <c r="B67" s="5" t="s">
        <v>102</v>
      </c>
      <c r="C67" s="6" t="str">
        <f t="shared" si="1"/>
        <v>#VALUE!</v>
      </c>
      <c r="D67" s="6" t="str">
        <f t="shared" si="2"/>
        <v>#VALUE!</v>
      </c>
      <c r="E67" s="9">
        <v>15.0</v>
      </c>
      <c r="F67" s="8" t="str">
        <f t="shared" si="3"/>
        <v>#VALUE!</v>
      </c>
    </row>
    <row r="68">
      <c r="A68" s="4" t="s">
        <v>61</v>
      </c>
      <c r="B68" s="5" t="s">
        <v>102</v>
      </c>
      <c r="C68" s="6" t="str">
        <f t="shared" si="1"/>
        <v>#VALUE!</v>
      </c>
      <c r="D68" s="6" t="str">
        <f t="shared" si="2"/>
        <v>#VALUE!</v>
      </c>
      <c r="E68" s="9">
        <v>15.0</v>
      </c>
      <c r="F68" s="8" t="str">
        <f t="shared" si="3"/>
        <v>#VALUE!</v>
      </c>
    </row>
    <row r="69">
      <c r="A69" s="4" t="s">
        <v>62</v>
      </c>
      <c r="B69" s="5" t="s">
        <v>102</v>
      </c>
      <c r="C69" s="6" t="str">
        <f t="shared" si="1"/>
        <v>#VALUE!</v>
      </c>
      <c r="D69" s="6" t="str">
        <f t="shared" si="2"/>
        <v>#VALUE!</v>
      </c>
      <c r="E69" s="9">
        <v>15.0</v>
      </c>
      <c r="F69" s="8" t="str">
        <f t="shared" si="3"/>
        <v>#VALUE!</v>
      </c>
    </row>
    <row r="70">
      <c r="A70" s="4" t="s">
        <v>63</v>
      </c>
      <c r="B70" s="5" t="s">
        <v>102</v>
      </c>
      <c r="C70" s="6" t="str">
        <f t="shared" si="1"/>
        <v>#VALUE!</v>
      </c>
      <c r="D70" s="6" t="str">
        <f t="shared" si="2"/>
        <v>#VALUE!</v>
      </c>
      <c r="E70" s="9">
        <v>15.0</v>
      </c>
      <c r="F70" s="8" t="str">
        <f t="shared" si="3"/>
        <v>#VALUE!</v>
      </c>
    </row>
    <row r="71">
      <c r="A71" s="4" t="s">
        <v>64</v>
      </c>
      <c r="B71" s="5" t="s">
        <v>102</v>
      </c>
      <c r="C71" s="6" t="str">
        <f t="shared" si="1"/>
        <v>#VALUE!</v>
      </c>
      <c r="D71" s="6" t="str">
        <f t="shared" si="2"/>
        <v>#VALUE!</v>
      </c>
      <c r="E71" s="9">
        <v>15.0</v>
      </c>
      <c r="F71" s="8" t="str">
        <f t="shared" si="3"/>
        <v>#VALUE!</v>
      </c>
    </row>
    <row r="72">
      <c r="A72" s="4" t="s">
        <v>65</v>
      </c>
      <c r="B72" s="5" t="s">
        <v>102</v>
      </c>
      <c r="C72" s="6" t="str">
        <f t="shared" si="1"/>
        <v>#VALUE!</v>
      </c>
      <c r="D72" s="6" t="str">
        <f t="shared" si="2"/>
        <v>#VALUE!</v>
      </c>
      <c r="E72" s="9">
        <v>15.0</v>
      </c>
      <c r="F72" s="8" t="str">
        <f t="shared" si="3"/>
        <v>#VALUE!</v>
      </c>
    </row>
    <row r="73">
      <c r="A73" s="4" t="s">
        <v>147</v>
      </c>
      <c r="B73" s="5">
        <v>287.0</v>
      </c>
      <c r="C73" s="6">
        <f t="shared" si="1"/>
        <v>307.09</v>
      </c>
      <c r="D73" s="6">
        <f t="shared" si="2"/>
        <v>337.799</v>
      </c>
      <c r="E73" s="9">
        <v>20.0</v>
      </c>
      <c r="F73" s="8">
        <f t="shared" si="3"/>
        <v>16.88995</v>
      </c>
    </row>
    <row r="74">
      <c r="A74" s="4" t="s">
        <v>148</v>
      </c>
      <c r="B74" s="5">
        <v>404.0</v>
      </c>
      <c r="C74" s="6">
        <f t="shared" si="1"/>
        <v>432.28</v>
      </c>
      <c r="D74" s="6">
        <f t="shared" si="2"/>
        <v>475.508</v>
      </c>
      <c r="E74" s="9">
        <v>30.0</v>
      </c>
      <c r="F74" s="8">
        <f t="shared" si="3"/>
        <v>15.85026667</v>
      </c>
    </row>
    <row r="75">
      <c r="A75" s="4" t="s">
        <v>149</v>
      </c>
      <c r="B75" s="5">
        <v>860.0</v>
      </c>
      <c r="C75" s="6">
        <f t="shared" si="1"/>
        <v>920.2</v>
      </c>
      <c r="D75" s="6">
        <f t="shared" si="2"/>
        <v>1012.22</v>
      </c>
      <c r="E75" s="7">
        <v>10.0</v>
      </c>
      <c r="F75" s="8">
        <f t="shared" si="3"/>
        <v>101.222</v>
      </c>
    </row>
    <row r="76">
      <c r="A76" s="4" t="s">
        <v>150</v>
      </c>
      <c r="B76" s="5">
        <v>430.0</v>
      </c>
      <c r="C76" s="6">
        <f t="shared" si="1"/>
        <v>460.1</v>
      </c>
      <c r="D76" s="6">
        <f t="shared" si="2"/>
        <v>506.11</v>
      </c>
      <c r="E76" s="7">
        <v>5.0</v>
      </c>
      <c r="F76" s="8">
        <f t="shared" si="3"/>
        <v>101.222</v>
      </c>
    </row>
    <row r="77">
      <c r="A77" s="4" t="s">
        <v>151</v>
      </c>
      <c r="B77" s="5">
        <v>931.0</v>
      </c>
      <c r="C77" s="6">
        <f t="shared" si="1"/>
        <v>996.17</v>
      </c>
      <c r="D77" s="6">
        <f t="shared" si="2"/>
        <v>1095.787</v>
      </c>
      <c r="E77" s="7">
        <v>10.0</v>
      </c>
      <c r="F77" s="8">
        <f t="shared" si="3"/>
        <v>109.5787</v>
      </c>
    </row>
    <row r="78">
      <c r="A78" s="4" t="s">
        <v>152</v>
      </c>
      <c r="B78" s="5">
        <v>375.5</v>
      </c>
      <c r="C78" s="6">
        <f t="shared" si="1"/>
        <v>401.785</v>
      </c>
      <c r="D78" s="6">
        <f t="shared" si="2"/>
        <v>441.9635</v>
      </c>
      <c r="E78" s="7">
        <v>20.0</v>
      </c>
      <c r="F78" s="8">
        <f t="shared" si="3"/>
        <v>22.098175</v>
      </c>
    </row>
    <row r="79">
      <c r="A79" s="4" t="s">
        <v>153</v>
      </c>
      <c r="B79" s="5">
        <v>154.4</v>
      </c>
      <c r="C79" s="6">
        <f t="shared" si="1"/>
        <v>165.208</v>
      </c>
      <c r="D79" s="6">
        <f t="shared" si="2"/>
        <v>181.7288</v>
      </c>
      <c r="E79" s="9">
        <v>3.0</v>
      </c>
      <c r="F79" s="8">
        <f t="shared" si="3"/>
        <v>60.57626667</v>
      </c>
    </row>
    <row r="80">
      <c r="A80" s="4" t="s">
        <v>154</v>
      </c>
      <c r="B80" s="5">
        <v>34.0</v>
      </c>
      <c r="C80" s="6">
        <f t="shared" si="1"/>
        <v>36.38</v>
      </c>
      <c r="D80" s="6">
        <f t="shared" si="2"/>
        <v>40.018</v>
      </c>
      <c r="E80" s="9">
        <v>20.0</v>
      </c>
      <c r="F80" s="8">
        <f t="shared" si="3"/>
        <v>2.0009</v>
      </c>
    </row>
    <row r="81">
      <c r="A81" s="4" t="s">
        <v>155</v>
      </c>
      <c r="B81" s="5">
        <v>58.0</v>
      </c>
      <c r="C81" s="6">
        <f t="shared" si="1"/>
        <v>62.06</v>
      </c>
      <c r="D81" s="6">
        <f t="shared" si="2"/>
        <v>68.266</v>
      </c>
      <c r="E81" s="9">
        <v>20.0</v>
      </c>
      <c r="F81" s="8">
        <f t="shared" si="3"/>
        <v>3.4133</v>
      </c>
    </row>
    <row r="82">
      <c r="A82" s="4" t="s">
        <v>156</v>
      </c>
      <c r="B82" s="5">
        <v>44.5</v>
      </c>
      <c r="C82" s="6">
        <f t="shared" si="1"/>
        <v>47.615</v>
      </c>
      <c r="D82" s="6">
        <f t="shared" si="2"/>
        <v>52.3765</v>
      </c>
      <c r="E82" s="10">
        <v>1.0</v>
      </c>
      <c r="F82" s="8">
        <f t="shared" si="3"/>
        <v>52.3765</v>
      </c>
    </row>
    <row r="83">
      <c r="A83" s="4" t="s">
        <v>157</v>
      </c>
      <c r="B83" s="5">
        <v>100.0</v>
      </c>
      <c r="C83" s="6">
        <f t="shared" si="1"/>
        <v>107</v>
      </c>
      <c r="D83" s="6">
        <f t="shared" si="2"/>
        <v>117.7</v>
      </c>
      <c r="E83" s="10">
        <v>20.0</v>
      </c>
      <c r="F83" s="8">
        <f t="shared" si="3"/>
        <v>5.885</v>
      </c>
    </row>
    <row r="84">
      <c r="A84" s="4" t="s">
        <v>158</v>
      </c>
      <c r="B84" s="5">
        <v>12.0</v>
      </c>
      <c r="C84" s="6">
        <f t="shared" si="1"/>
        <v>12.84</v>
      </c>
      <c r="D84" s="6">
        <f t="shared" si="2"/>
        <v>14.124</v>
      </c>
      <c r="E84" s="10">
        <v>75.0</v>
      </c>
      <c r="F84" s="8">
        <f t="shared" si="3"/>
        <v>0.18832</v>
      </c>
    </row>
    <row r="85">
      <c r="A85" s="4" t="s">
        <v>159</v>
      </c>
      <c r="B85" s="26"/>
      <c r="C85" s="6">
        <f t="shared" si="1"/>
        <v>0</v>
      </c>
      <c r="D85" s="6">
        <f t="shared" si="2"/>
        <v>0</v>
      </c>
      <c r="E85" s="7">
        <v>5.0</v>
      </c>
      <c r="F85" s="8">
        <f t="shared" si="3"/>
        <v>0</v>
      </c>
    </row>
    <row r="86">
      <c r="A86" s="4" t="s">
        <v>160</v>
      </c>
      <c r="B86" s="26"/>
      <c r="C86" s="6">
        <f t="shared" si="1"/>
        <v>0</v>
      </c>
      <c r="D86" s="6">
        <f t="shared" si="2"/>
        <v>0</v>
      </c>
      <c r="E86" s="7">
        <v>5.0</v>
      </c>
      <c r="F86" s="8">
        <f t="shared" si="3"/>
        <v>0</v>
      </c>
    </row>
    <row r="87">
      <c r="A87" s="4" t="s">
        <v>79</v>
      </c>
      <c r="B87" s="5">
        <v>312.0</v>
      </c>
      <c r="C87" s="6">
        <f t="shared" si="1"/>
        <v>333.84</v>
      </c>
      <c r="D87" s="6">
        <f t="shared" si="2"/>
        <v>367.224</v>
      </c>
      <c r="E87" s="7">
        <v>4.0</v>
      </c>
      <c r="F87" s="8">
        <f t="shared" si="3"/>
        <v>91.806</v>
      </c>
    </row>
    <row r="88">
      <c r="A88" s="4" t="s">
        <v>161</v>
      </c>
      <c r="B88" s="5">
        <v>303.0</v>
      </c>
      <c r="C88" s="6">
        <f t="shared" si="1"/>
        <v>324.21</v>
      </c>
      <c r="D88" s="6">
        <f t="shared" si="2"/>
        <v>356.631</v>
      </c>
      <c r="E88" s="7">
        <v>7.5</v>
      </c>
      <c r="F88" s="8">
        <f t="shared" si="3"/>
        <v>47.5508</v>
      </c>
    </row>
    <row r="89">
      <c r="A89" s="4" t="s">
        <v>83</v>
      </c>
      <c r="B89" s="5">
        <v>239.0</v>
      </c>
      <c r="C89" s="6">
        <f t="shared" si="1"/>
        <v>255.73</v>
      </c>
      <c r="D89" s="6">
        <f t="shared" si="2"/>
        <v>281.303</v>
      </c>
      <c r="E89" s="7">
        <v>7.5</v>
      </c>
      <c r="F89" s="8">
        <f t="shared" si="3"/>
        <v>37.50706667</v>
      </c>
    </row>
    <row r="90">
      <c r="A90" s="4" t="s">
        <v>162</v>
      </c>
      <c r="B90" s="5">
        <v>296.0</v>
      </c>
      <c r="C90" s="6">
        <f t="shared" si="1"/>
        <v>316.72</v>
      </c>
      <c r="D90" s="6">
        <f t="shared" si="2"/>
        <v>348.392</v>
      </c>
      <c r="E90" s="7">
        <v>5.0</v>
      </c>
      <c r="F90" s="8">
        <f t="shared" si="3"/>
        <v>69.6784</v>
      </c>
    </row>
    <row r="91">
      <c r="A91" s="4" t="s">
        <v>163</v>
      </c>
      <c r="B91" s="5">
        <v>218.99</v>
      </c>
      <c r="C91" s="6">
        <f t="shared" si="1"/>
        <v>234.3193</v>
      </c>
      <c r="D91" s="6">
        <f t="shared" si="2"/>
        <v>257.75123</v>
      </c>
      <c r="E91" s="7">
        <v>5.0</v>
      </c>
      <c r="F91" s="8">
        <f t="shared" si="3"/>
        <v>51.550246</v>
      </c>
    </row>
    <row r="92">
      <c r="A92" s="4" t="s">
        <v>164</v>
      </c>
      <c r="B92" s="5">
        <v>296.5</v>
      </c>
      <c r="C92" s="6">
        <f t="shared" si="1"/>
        <v>317.255</v>
      </c>
      <c r="D92" s="6">
        <f t="shared" si="2"/>
        <v>348.9805</v>
      </c>
      <c r="E92" s="7">
        <v>4.0</v>
      </c>
      <c r="F92" s="8">
        <f t="shared" si="3"/>
        <v>87.245125</v>
      </c>
    </row>
    <row r="93">
      <c r="A93" s="4" t="s">
        <v>165</v>
      </c>
      <c r="B93" s="5">
        <v>218.0</v>
      </c>
      <c r="C93" s="6">
        <f t="shared" si="1"/>
        <v>233.26</v>
      </c>
      <c r="D93" s="6">
        <f t="shared" si="2"/>
        <v>256.586</v>
      </c>
      <c r="E93" s="7">
        <v>10.0</v>
      </c>
      <c r="F93" s="8">
        <f t="shared" si="3"/>
        <v>25.6586</v>
      </c>
    </row>
    <row r="94">
      <c r="A94" s="4" t="s">
        <v>166</v>
      </c>
      <c r="B94" s="5">
        <v>156.0</v>
      </c>
      <c r="C94" s="6">
        <f t="shared" si="1"/>
        <v>166.92</v>
      </c>
      <c r="D94" s="6">
        <f t="shared" si="2"/>
        <v>183.612</v>
      </c>
      <c r="E94" s="7">
        <v>10.0</v>
      </c>
      <c r="F94" s="8">
        <f t="shared" si="3"/>
        <v>18.3612</v>
      </c>
    </row>
    <row r="95">
      <c r="A95" s="4" t="s">
        <v>167</v>
      </c>
      <c r="B95" s="26"/>
      <c r="C95" s="6">
        <f t="shared" si="1"/>
        <v>0</v>
      </c>
      <c r="D95" s="6">
        <f t="shared" si="2"/>
        <v>0</v>
      </c>
      <c r="E95" s="7">
        <v>10.0</v>
      </c>
      <c r="F95" s="8">
        <f t="shared" si="3"/>
        <v>0</v>
      </c>
    </row>
    <row r="96">
      <c r="A96" s="4" t="s">
        <v>168</v>
      </c>
      <c r="B96" s="5">
        <v>194.0</v>
      </c>
      <c r="C96" s="6">
        <f t="shared" si="1"/>
        <v>207.58</v>
      </c>
      <c r="D96" s="6">
        <f t="shared" si="2"/>
        <v>228.338</v>
      </c>
      <c r="E96" s="7">
        <v>3.333</v>
      </c>
      <c r="F96" s="8">
        <f t="shared" si="3"/>
        <v>68.50825083</v>
      </c>
    </row>
    <row r="97">
      <c r="A97" s="4" t="s">
        <v>169</v>
      </c>
      <c r="B97" s="5">
        <v>158.3</v>
      </c>
      <c r="C97" s="6">
        <f t="shared" si="1"/>
        <v>169.381</v>
      </c>
      <c r="D97" s="6">
        <f t="shared" si="2"/>
        <v>186.3191</v>
      </c>
      <c r="E97" s="7">
        <v>3.0</v>
      </c>
      <c r="F97" s="8">
        <f t="shared" si="3"/>
        <v>62.10636667</v>
      </c>
    </row>
    <row r="98">
      <c r="A98" s="4" t="s">
        <v>170</v>
      </c>
      <c r="B98" s="5">
        <v>46.0</v>
      </c>
      <c r="C98" s="6">
        <f t="shared" si="1"/>
        <v>49.22</v>
      </c>
      <c r="D98" s="6">
        <f t="shared" si="2"/>
        <v>54.142</v>
      </c>
      <c r="E98" s="7">
        <v>25.0</v>
      </c>
      <c r="F98" s="8">
        <f t="shared" si="3"/>
        <v>2.16568</v>
      </c>
    </row>
    <row r="99">
      <c r="A99" s="4" t="s">
        <v>88</v>
      </c>
      <c r="B99" s="5">
        <v>2459.0</v>
      </c>
      <c r="C99" s="6">
        <f t="shared" si="1"/>
        <v>2631.13</v>
      </c>
      <c r="D99" s="6">
        <f t="shared" si="2"/>
        <v>2894.243</v>
      </c>
      <c r="E99" s="7">
        <v>32.47</v>
      </c>
      <c r="F99" s="8">
        <f t="shared" si="3"/>
        <v>89.13591007</v>
      </c>
    </row>
    <row r="100">
      <c r="A100" s="4" t="s">
        <v>89</v>
      </c>
      <c r="B100" s="5">
        <v>2459.0</v>
      </c>
      <c r="C100" s="6">
        <f t="shared" si="1"/>
        <v>2631.13</v>
      </c>
      <c r="D100" s="6">
        <f t="shared" si="2"/>
        <v>2894.243</v>
      </c>
      <c r="E100" s="7">
        <v>24.35</v>
      </c>
      <c r="F100" s="8">
        <f t="shared" si="3"/>
        <v>118.8600821</v>
      </c>
    </row>
    <row r="101">
      <c r="A101" s="4" t="s">
        <v>90</v>
      </c>
      <c r="B101" s="5" t="s">
        <v>102</v>
      </c>
      <c r="C101" s="6" t="str">
        <f t="shared" si="1"/>
        <v>#VALUE!</v>
      </c>
      <c r="D101" s="6" t="str">
        <f t="shared" si="2"/>
        <v>#VALUE!</v>
      </c>
      <c r="E101" s="7">
        <v>12.0</v>
      </c>
      <c r="F101" s="8" t="str">
        <f t="shared" si="3"/>
        <v>#VALUE!</v>
      </c>
    </row>
    <row r="102">
      <c r="A102" s="4" t="s">
        <v>91</v>
      </c>
      <c r="B102" s="5" t="s">
        <v>102</v>
      </c>
      <c r="C102" s="6" t="str">
        <f t="shared" si="1"/>
        <v>#VALUE!</v>
      </c>
      <c r="D102" s="6" t="str">
        <f t="shared" si="2"/>
        <v>#VALUE!</v>
      </c>
      <c r="E102" s="7">
        <v>10.0</v>
      </c>
      <c r="F102" s="8" t="str">
        <f t="shared" si="3"/>
        <v>#VALUE!</v>
      </c>
    </row>
    <row r="103">
      <c r="A103" s="4" t="s">
        <v>92</v>
      </c>
      <c r="B103" s="5" t="s">
        <v>102</v>
      </c>
      <c r="C103" s="6" t="str">
        <f t="shared" si="1"/>
        <v>#VALUE!</v>
      </c>
      <c r="D103" s="6" t="str">
        <f t="shared" si="2"/>
        <v>#VALUE!</v>
      </c>
      <c r="E103" s="7">
        <v>6.0</v>
      </c>
      <c r="F103" s="8" t="str">
        <f t="shared" si="3"/>
        <v>#VALUE!</v>
      </c>
    </row>
    <row r="104">
      <c r="A104" s="4" t="s">
        <v>93</v>
      </c>
      <c r="B104" s="5" t="s">
        <v>102</v>
      </c>
      <c r="C104" s="6" t="str">
        <f t="shared" si="1"/>
        <v>#VALUE!</v>
      </c>
      <c r="D104" s="6" t="str">
        <f t="shared" si="2"/>
        <v>#VALUE!</v>
      </c>
      <c r="E104" s="7">
        <v>20.0</v>
      </c>
      <c r="F104" s="8" t="str">
        <f t="shared" si="3"/>
        <v>#VALUE!</v>
      </c>
    </row>
    <row r="105">
      <c r="A105" s="4" t="s">
        <v>94</v>
      </c>
      <c r="B105" s="5" t="s">
        <v>102</v>
      </c>
      <c r="C105" s="6" t="str">
        <f t="shared" si="1"/>
        <v>#VALUE!</v>
      </c>
      <c r="D105" s="6" t="str">
        <f t="shared" si="2"/>
        <v>#VALUE!</v>
      </c>
      <c r="E105" s="9">
        <v>3.0</v>
      </c>
      <c r="F105" s="8" t="str">
        <f t="shared" si="3"/>
        <v>#VALUE!</v>
      </c>
    </row>
    <row r="106">
      <c r="A106" s="4" t="s">
        <v>95</v>
      </c>
      <c r="B106" s="5" t="s">
        <v>102</v>
      </c>
      <c r="C106" s="6" t="str">
        <f t="shared" si="1"/>
        <v>#VALUE!</v>
      </c>
      <c r="D106" s="6" t="str">
        <f t="shared" si="2"/>
        <v>#VALUE!</v>
      </c>
      <c r="E106" s="9">
        <v>20.0</v>
      </c>
      <c r="F106" s="8" t="str">
        <f t="shared" si="3"/>
        <v>#VALUE!</v>
      </c>
    </row>
    <row r="107">
      <c r="A107" s="4" t="s">
        <v>96</v>
      </c>
      <c r="B107" s="5" t="s">
        <v>102</v>
      </c>
      <c r="C107" s="6" t="str">
        <f t="shared" si="1"/>
        <v>#VALUE!</v>
      </c>
      <c r="D107" s="6" t="str">
        <f t="shared" si="2"/>
        <v>#VALUE!</v>
      </c>
      <c r="E107" s="9">
        <v>20.0</v>
      </c>
      <c r="F107" s="8" t="str">
        <f t="shared" si="3"/>
        <v>#VALUE!</v>
      </c>
    </row>
    <row r="108">
      <c r="A108" s="4" t="s">
        <v>97</v>
      </c>
      <c r="B108" s="5" t="s">
        <v>102</v>
      </c>
      <c r="C108" s="6" t="str">
        <f t="shared" si="1"/>
        <v>#VALUE!</v>
      </c>
      <c r="D108" s="6" t="str">
        <f t="shared" si="2"/>
        <v>#VALUE!</v>
      </c>
      <c r="E108" s="10">
        <v>1.0</v>
      </c>
      <c r="F108" s="8" t="str">
        <f t="shared" si="3"/>
        <v>#VALUE!</v>
      </c>
    </row>
    <row r="109">
      <c r="A109" s="4" t="s">
        <v>98</v>
      </c>
      <c r="B109" s="5" t="s">
        <v>102</v>
      </c>
      <c r="C109" s="6" t="str">
        <f t="shared" si="1"/>
        <v>#VALUE!</v>
      </c>
      <c r="D109" s="6" t="str">
        <f t="shared" si="2"/>
        <v>#VALUE!</v>
      </c>
      <c r="E109" s="10">
        <v>20.0</v>
      </c>
      <c r="F109" s="8" t="str">
        <f t="shared" si="3"/>
        <v>#VALUE!</v>
      </c>
    </row>
    <row r="110">
      <c r="A110" s="4" t="s">
        <v>99</v>
      </c>
      <c r="B110" s="11" t="s">
        <v>102</v>
      </c>
      <c r="C110" s="6" t="str">
        <f t="shared" si="1"/>
        <v>#VALUE!</v>
      </c>
      <c r="D110" s="6" t="str">
        <f t="shared" si="2"/>
        <v>#VALUE!</v>
      </c>
      <c r="E110" s="7">
        <v>7.0</v>
      </c>
      <c r="F110" s="8" t="str">
        <f t="shared" si="3"/>
        <v>#VALUE!</v>
      </c>
    </row>
    <row r="111">
      <c r="A111" s="4" t="s">
        <v>100</v>
      </c>
      <c r="B111" s="5" t="s">
        <v>102</v>
      </c>
      <c r="C111" s="6" t="str">
        <f t="shared" si="1"/>
        <v>#VALUE!</v>
      </c>
      <c r="D111" s="6" t="str">
        <f t="shared" si="2"/>
        <v>#VALUE!</v>
      </c>
      <c r="E111" s="10">
        <v>75.0</v>
      </c>
      <c r="F111" s="8" t="str">
        <f t="shared" si="3"/>
        <v>#VALUE!</v>
      </c>
    </row>
    <row r="112">
      <c r="A112" s="20" t="s">
        <v>171</v>
      </c>
      <c r="B112" s="21">
        <v>160.0</v>
      </c>
      <c r="C112" s="22">
        <f t="shared" si="1"/>
        <v>171.2</v>
      </c>
      <c r="D112" s="22">
        <f t="shared" si="2"/>
        <v>188.32</v>
      </c>
      <c r="E112" s="23">
        <v>15.0</v>
      </c>
      <c r="F112" s="24">
        <f t="shared" si="3"/>
        <v>12.55466667</v>
      </c>
    </row>
    <row r="113">
      <c r="A113" s="4" t="s">
        <v>118</v>
      </c>
      <c r="B113" s="11">
        <v>168.6</v>
      </c>
      <c r="C113" s="6">
        <f t="shared" si="1"/>
        <v>180.402</v>
      </c>
      <c r="D113" s="6">
        <f t="shared" si="2"/>
        <v>198.4422</v>
      </c>
      <c r="E113" s="7">
        <v>7.5</v>
      </c>
      <c r="F113" s="8">
        <f t="shared" si="3"/>
        <v>26.45896</v>
      </c>
    </row>
    <row r="114">
      <c r="A114" s="4" t="s">
        <v>119</v>
      </c>
      <c r="B114" s="25">
        <v>37.44</v>
      </c>
      <c r="C114" s="6">
        <f t="shared" si="1"/>
        <v>40.0608</v>
      </c>
      <c r="D114" s="6">
        <f t="shared" si="2"/>
        <v>44.06688</v>
      </c>
      <c r="E114" s="7">
        <v>1.0</v>
      </c>
      <c r="F114" s="8">
        <f t="shared" si="3"/>
        <v>44.06688</v>
      </c>
    </row>
    <row r="115">
      <c r="A115" s="4" t="s">
        <v>121</v>
      </c>
      <c r="B115" s="11">
        <v>12.75</v>
      </c>
      <c r="C115" s="6">
        <f t="shared" si="1"/>
        <v>13.6425</v>
      </c>
      <c r="D115" s="6">
        <f t="shared" si="2"/>
        <v>15.00675</v>
      </c>
      <c r="E115" s="7">
        <v>1.0</v>
      </c>
      <c r="F115" s="8">
        <f t="shared" si="3"/>
        <v>15.00675</v>
      </c>
    </row>
    <row r="116">
      <c r="A116" s="12"/>
      <c r="B116" s="13"/>
      <c r="C116" s="6">
        <f t="shared" si="1"/>
        <v>0</v>
      </c>
      <c r="D116" s="6">
        <f t="shared" si="2"/>
        <v>0</v>
      </c>
      <c r="E116" s="7"/>
      <c r="F116" s="8" t="str">
        <f t="shared" si="3"/>
        <v>#DIV/0!</v>
      </c>
    </row>
    <row r="117">
      <c r="A117" s="12"/>
      <c r="B117" s="13"/>
      <c r="C117" s="6">
        <f t="shared" si="1"/>
        <v>0</v>
      </c>
      <c r="D117" s="6">
        <f t="shared" si="2"/>
        <v>0</v>
      </c>
      <c r="E117" s="7"/>
      <c r="F117" s="8" t="str">
        <f t="shared" si="3"/>
        <v>#DIV/0!</v>
      </c>
    </row>
    <row r="118">
      <c r="A118" s="12"/>
      <c r="B118" s="13"/>
      <c r="C118" s="6">
        <f t="shared" si="1"/>
        <v>0</v>
      </c>
      <c r="D118" s="6">
        <f t="shared" si="2"/>
        <v>0</v>
      </c>
      <c r="E118" s="7"/>
      <c r="F118" s="8" t="str">
        <f t="shared" si="3"/>
        <v>#DIV/0!</v>
      </c>
    </row>
    <row r="119">
      <c r="A119" s="12"/>
      <c r="B119" s="13"/>
      <c r="C119" s="6">
        <f t="shared" si="1"/>
        <v>0</v>
      </c>
      <c r="D119" s="6">
        <f t="shared" si="2"/>
        <v>0</v>
      </c>
      <c r="E119" s="7"/>
      <c r="F119" s="8" t="str">
        <f t="shared" si="3"/>
        <v>#DIV/0!</v>
      </c>
    </row>
    <row r="120">
      <c r="A120" s="12"/>
      <c r="B120" s="13"/>
      <c r="C120" s="6">
        <f t="shared" si="1"/>
        <v>0</v>
      </c>
      <c r="D120" s="6">
        <f t="shared" si="2"/>
        <v>0</v>
      </c>
      <c r="E120" s="7"/>
      <c r="F120" s="8" t="str">
        <f t="shared" si="3"/>
        <v>#DIV/0!</v>
      </c>
    </row>
    <row r="121">
      <c r="A121" s="12"/>
      <c r="B121" s="13"/>
      <c r="C121" s="6">
        <f t="shared" si="1"/>
        <v>0</v>
      </c>
      <c r="D121" s="6">
        <f t="shared" si="2"/>
        <v>0</v>
      </c>
      <c r="E121" s="7"/>
      <c r="F121" s="8" t="str">
        <f t="shared" si="3"/>
        <v>#DIV/0!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63"/>
    <col customWidth="1" min="6" max="6" width="16.0"/>
  </cols>
  <sheetData>
    <row r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122" si="1">B2*1.07</f>
        <v>72.7493</v>
      </c>
      <c r="D2" s="6">
        <f t="shared" ref="D2:D122" si="2">C2*1.1</f>
        <v>80.02423</v>
      </c>
      <c r="E2" s="7">
        <v>12.5</v>
      </c>
      <c r="F2" s="8">
        <f t="shared" ref="F2:F122" si="3">D2/E2</f>
        <v>6.4019384</v>
      </c>
    </row>
    <row r="3">
      <c r="A3" s="4" t="s">
        <v>126</v>
      </c>
      <c r="B3" s="5">
        <v>77.99</v>
      </c>
      <c r="C3" s="6">
        <f t="shared" si="1"/>
        <v>83.4493</v>
      </c>
      <c r="D3" s="6">
        <f t="shared" si="2"/>
        <v>91.79423</v>
      </c>
      <c r="E3" s="7">
        <v>50.0</v>
      </c>
      <c r="F3" s="8">
        <f t="shared" si="3"/>
        <v>1.8358846</v>
      </c>
    </row>
    <row r="4">
      <c r="A4" s="4" t="s">
        <v>7</v>
      </c>
      <c r="B4" s="5">
        <v>95.0</v>
      </c>
      <c r="C4" s="6">
        <f t="shared" si="1"/>
        <v>101.65</v>
      </c>
      <c r="D4" s="6">
        <f t="shared" si="2"/>
        <v>111.815</v>
      </c>
      <c r="E4" s="7">
        <v>20.0</v>
      </c>
      <c r="F4" s="8">
        <f t="shared" si="3"/>
        <v>5.59075</v>
      </c>
    </row>
    <row r="5">
      <c r="A5" s="4" t="s">
        <v>8</v>
      </c>
      <c r="B5" s="5">
        <v>40.0</v>
      </c>
      <c r="C5" s="6">
        <f t="shared" si="1"/>
        <v>42.8</v>
      </c>
      <c r="D5" s="6">
        <f t="shared" si="2"/>
        <v>47.08</v>
      </c>
      <c r="E5" s="7">
        <v>0.32</v>
      </c>
      <c r="F5" s="8">
        <f t="shared" si="3"/>
        <v>147.125</v>
      </c>
    </row>
    <row r="6">
      <c r="A6" s="4" t="s">
        <v>127</v>
      </c>
      <c r="B6" s="5">
        <v>10.5</v>
      </c>
      <c r="C6" s="6">
        <f t="shared" si="1"/>
        <v>11.235</v>
      </c>
      <c r="D6" s="6">
        <f t="shared" si="2"/>
        <v>12.3585</v>
      </c>
      <c r="E6" s="7">
        <v>0.06</v>
      </c>
      <c r="F6" s="8">
        <f t="shared" si="3"/>
        <v>205.975</v>
      </c>
    </row>
    <row r="7">
      <c r="A7" s="4" t="s">
        <v>128</v>
      </c>
      <c r="B7" s="5">
        <v>14.0</v>
      </c>
      <c r="C7" s="6">
        <f t="shared" si="1"/>
        <v>14.98</v>
      </c>
      <c r="D7" s="6">
        <f t="shared" si="2"/>
        <v>16.478</v>
      </c>
      <c r="E7" s="7">
        <v>0.08</v>
      </c>
      <c r="F7" s="8">
        <f t="shared" si="3"/>
        <v>205.975</v>
      </c>
    </row>
    <row r="8">
      <c r="A8" s="4" t="s">
        <v>129</v>
      </c>
      <c r="B8" s="5" t="s">
        <v>102</v>
      </c>
      <c r="C8" s="6" t="str">
        <f t="shared" si="1"/>
        <v>#VALUE!</v>
      </c>
      <c r="D8" s="6" t="str">
        <f t="shared" si="2"/>
        <v>#VALUE!</v>
      </c>
      <c r="E8" s="7">
        <v>0.08</v>
      </c>
      <c r="F8" s="8" t="str">
        <f t="shared" si="3"/>
        <v>#VALUE!</v>
      </c>
    </row>
    <row r="9">
      <c r="A9" s="4" t="s">
        <v>130</v>
      </c>
      <c r="B9" s="5" t="s">
        <v>102</v>
      </c>
      <c r="C9" s="6" t="str">
        <f t="shared" si="1"/>
        <v>#VALUE!</v>
      </c>
      <c r="D9" s="6" t="str">
        <f t="shared" si="2"/>
        <v>#VALUE!</v>
      </c>
      <c r="E9" s="7">
        <v>0.08</v>
      </c>
      <c r="F9" s="8" t="str">
        <f t="shared" si="3"/>
        <v>#VALUE!</v>
      </c>
    </row>
    <row r="10">
      <c r="A10" s="4" t="s">
        <v>11</v>
      </c>
      <c r="B10" s="5" t="s">
        <v>102</v>
      </c>
      <c r="C10" s="6" t="str">
        <f t="shared" si="1"/>
        <v>#VALUE!</v>
      </c>
      <c r="D10" s="6" t="str">
        <f t="shared" si="2"/>
        <v>#VALUE!</v>
      </c>
      <c r="E10" s="7">
        <v>1.0</v>
      </c>
      <c r="F10" s="8" t="str">
        <f t="shared" si="3"/>
        <v>#VALUE!</v>
      </c>
    </row>
    <row r="11">
      <c r="A11" s="4" t="s">
        <v>12</v>
      </c>
      <c r="B11" s="5" t="s">
        <v>102</v>
      </c>
      <c r="C11" s="6" t="str">
        <f t="shared" si="1"/>
        <v>#VALUE!</v>
      </c>
      <c r="D11" s="6" t="str">
        <f t="shared" si="2"/>
        <v>#VALUE!</v>
      </c>
      <c r="E11" s="7">
        <v>1.0</v>
      </c>
      <c r="F11" s="8" t="str">
        <f t="shared" si="3"/>
        <v>#VALUE!</v>
      </c>
    </row>
    <row r="12">
      <c r="A12" s="4" t="s">
        <v>13</v>
      </c>
      <c r="B12" s="5">
        <v>14.0</v>
      </c>
      <c r="C12" s="6">
        <f t="shared" si="1"/>
        <v>14.98</v>
      </c>
      <c r="D12" s="6">
        <f t="shared" si="2"/>
        <v>16.478</v>
      </c>
      <c r="E12" s="7">
        <v>1.0</v>
      </c>
      <c r="F12" s="8">
        <f t="shared" si="3"/>
        <v>16.478</v>
      </c>
    </row>
    <row r="13">
      <c r="A13" s="4" t="s">
        <v>131</v>
      </c>
      <c r="B13" s="5">
        <v>12.0</v>
      </c>
      <c r="C13" s="6">
        <f t="shared" si="1"/>
        <v>12.84</v>
      </c>
      <c r="D13" s="6">
        <f t="shared" si="2"/>
        <v>14.124</v>
      </c>
      <c r="E13" s="7">
        <v>4.0</v>
      </c>
      <c r="F13" s="8">
        <f t="shared" si="3"/>
        <v>3.531</v>
      </c>
    </row>
    <row r="14">
      <c r="A14" s="4" t="s">
        <v>40</v>
      </c>
      <c r="B14" s="5">
        <v>16.0</v>
      </c>
      <c r="C14" s="6">
        <f t="shared" si="1"/>
        <v>17.12</v>
      </c>
      <c r="D14" s="6">
        <f t="shared" si="2"/>
        <v>18.832</v>
      </c>
      <c r="E14" s="7">
        <v>4.0</v>
      </c>
      <c r="F14" s="8">
        <f t="shared" si="3"/>
        <v>4.708</v>
      </c>
    </row>
    <row r="15">
      <c r="A15" s="4" t="s">
        <v>107</v>
      </c>
      <c r="B15" s="5">
        <v>20.5</v>
      </c>
      <c r="C15" s="6">
        <f t="shared" si="1"/>
        <v>21.935</v>
      </c>
      <c r="D15" s="6">
        <f t="shared" si="2"/>
        <v>24.1285</v>
      </c>
      <c r="E15" s="7">
        <v>4.0</v>
      </c>
      <c r="F15" s="8">
        <f t="shared" si="3"/>
        <v>6.032125</v>
      </c>
    </row>
    <row r="16">
      <c r="A16" s="4" t="s">
        <v>108</v>
      </c>
      <c r="B16" s="5">
        <v>28.5</v>
      </c>
      <c r="C16" s="6">
        <f t="shared" si="1"/>
        <v>30.495</v>
      </c>
      <c r="D16" s="6">
        <f t="shared" si="2"/>
        <v>33.5445</v>
      </c>
      <c r="E16" s="7">
        <v>4.0</v>
      </c>
      <c r="F16" s="8">
        <f t="shared" si="3"/>
        <v>8.386125</v>
      </c>
    </row>
    <row r="17">
      <c r="A17" s="4" t="s">
        <v>132</v>
      </c>
      <c r="B17" s="5">
        <v>37.0</v>
      </c>
      <c r="C17" s="6">
        <f t="shared" si="1"/>
        <v>39.59</v>
      </c>
      <c r="D17" s="6">
        <f t="shared" si="2"/>
        <v>43.549</v>
      </c>
      <c r="E17" s="7">
        <v>4.0</v>
      </c>
      <c r="F17" s="8">
        <f t="shared" si="3"/>
        <v>10.88725</v>
      </c>
    </row>
    <row r="18">
      <c r="A18" s="4" t="s">
        <v>41</v>
      </c>
      <c r="B18" s="5">
        <v>46.0</v>
      </c>
      <c r="C18" s="6">
        <f t="shared" si="1"/>
        <v>49.22</v>
      </c>
      <c r="D18" s="6">
        <f t="shared" si="2"/>
        <v>54.142</v>
      </c>
      <c r="E18" s="7">
        <v>4.0</v>
      </c>
      <c r="F18" s="8">
        <f t="shared" si="3"/>
        <v>13.5355</v>
      </c>
    </row>
    <row r="19">
      <c r="A19" s="4" t="s">
        <v>14</v>
      </c>
      <c r="B19" s="5">
        <v>9.0</v>
      </c>
      <c r="C19" s="6">
        <f t="shared" si="1"/>
        <v>9.63</v>
      </c>
      <c r="D19" s="6">
        <f t="shared" si="2"/>
        <v>10.593</v>
      </c>
      <c r="E19" s="7">
        <v>1.0</v>
      </c>
      <c r="F19" s="8">
        <f t="shared" si="3"/>
        <v>10.593</v>
      </c>
    </row>
    <row r="20">
      <c r="A20" s="4" t="s">
        <v>15</v>
      </c>
      <c r="B20" s="5">
        <v>9.25</v>
      </c>
      <c r="C20" s="6">
        <f t="shared" si="1"/>
        <v>9.8975</v>
      </c>
      <c r="D20" s="6">
        <f t="shared" si="2"/>
        <v>10.88725</v>
      </c>
      <c r="E20" s="7">
        <v>1.0</v>
      </c>
      <c r="F20" s="8">
        <f t="shared" si="3"/>
        <v>10.88725</v>
      </c>
    </row>
    <row r="21">
      <c r="A21" s="4" t="s">
        <v>16</v>
      </c>
      <c r="B21" s="5" t="s">
        <v>102</v>
      </c>
      <c r="C21" s="6" t="str">
        <f t="shared" si="1"/>
        <v>#VALUE!</v>
      </c>
      <c r="D21" s="6" t="str">
        <f t="shared" si="2"/>
        <v>#VALUE!</v>
      </c>
      <c r="E21" s="7">
        <v>1.0</v>
      </c>
      <c r="F21" s="8" t="str">
        <f t="shared" si="3"/>
        <v>#VALUE!</v>
      </c>
    </row>
    <row r="22">
      <c r="A22" s="4" t="s">
        <v>19</v>
      </c>
      <c r="B22" s="5">
        <v>21.5</v>
      </c>
      <c r="C22" s="6">
        <f t="shared" si="1"/>
        <v>23.005</v>
      </c>
      <c r="D22" s="6">
        <f t="shared" si="2"/>
        <v>25.3055</v>
      </c>
      <c r="E22" s="7">
        <v>1.0</v>
      </c>
      <c r="F22" s="8">
        <f t="shared" si="3"/>
        <v>25.3055</v>
      </c>
    </row>
    <row r="23">
      <c r="A23" s="4" t="s">
        <v>103</v>
      </c>
      <c r="B23" s="5" t="s">
        <v>102</v>
      </c>
      <c r="C23" s="6" t="str">
        <f t="shared" si="1"/>
        <v>#VALUE!</v>
      </c>
      <c r="D23" s="6" t="str">
        <f t="shared" si="2"/>
        <v>#VALUE!</v>
      </c>
      <c r="E23" s="7">
        <v>1.0</v>
      </c>
      <c r="F23" s="8" t="str">
        <f t="shared" si="3"/>
        <v>#VALUE!</v>
      </c>
    </row>
    <row r="24">
      <c r="A24" s="4" t="s">
        <v>26</v>
      </c>
      <c r="B24" s="5">
        <v>76.5</v>
      </c>
      <c r="C24" s="6">
        <f t="shared" si="1"/>
        <v>81.855</v>
      </c>
      <c r="D24" s="6">
        <f t="shared" si="2"/>
        <v>90.0405</v>
      </c>
      <c r="E24" s="7">
        <v>10.0</v>
      </c>
      <c r="F24" s="8">
        <f t="shared" si="3"/>
        <v>9.00405</v>
      </c>
    </row>
    <row r="25">
      <c r="A25" s="4" t="s">
        <v>133</v>
      </c>
      <c r="B25" s="5" t="s">
        <v>102</v>
      </c>
      <c r="C25" s="6" t="str">
        <f t="shared" si="1"/>
        <v>#VALUE!</v>
      </c>
      <c r="D25" s="6" t="str">
        <f t="shared" si="2"/>
        <v>#VALUE!</v>
      </c>
      <c r="E25" s="7">
        <v>10.0</v>
      </c>
      <c r="F25" s="8" t="str">
        <f t="shared" si="3"/>
        <v>#VALUE!</v>
      </c>
    </row>
    <row r="26">
      <c r="A26" s="4" t="s">
        <v>27</v>
      </c>
      <c r="B26" s="5">
        <v>9.5</v>
      </c>
      <c r="C26" s="6">
        <f t="shared" si="1"/>
        <v>10.165</v>
      </c>
      <c r="D26" s="6">
        <f t="shared" si="2"/>
        <v>11.1815</v>
      </c>
      <c r="E26" s="7">
        <v>1.0</v>
      </c>
      <c r="F26" s="8">
        <f t="shared" si="3"/>
        <v>11.1815</v>
      </c>
    </row>
    <row r="27">
      <c r="A27" s="4" t="s">
        <v>28</v>
      </c>
      <c r="B27" s="5" t="s">
        <v>102</v>
      </c>
      <c r="C27" s="6" t="str">
        <f t="shared" si="1"/>
        <v>#VALUE!</v>
      </c>
      <c r="D27" s="6" t="str">
        <f t="shared" si="2"/>
        <v>#VALUE!</v>
      </c>
      <c r="E27" s="7">
        <v>1.0</v>
      </c>
      <c r="F27" s="8" t="str">
        <f t="shared" si="3"/>
        <v>#VALUE!</v>
      </c>
    </row>
    <row r="28">
      <c r="A28" s="4" t="s">
        <v>20</v>
      </c>
      <c r="B28" s="5">
        <v>43.99</v>
      </c>
      <c r="C28" s="6">
        <f t="shared" si="1"/>
        <v>47.0693</v>
      </c>
      <c r="D28" s="6">
        <f t="shared" si="2"/>
        <v>51.77623</v>
      </c>
      <c r="E28" s="7">
        <v>2.0</v>
      </c>
      <c r="F28" s="8">
        <f t="shared" si="3"/>
        <v>25.888115</v>
      </c>
    </row>
    <row r="29">
      <c r="A29" s="4" t="s">
        <v>21</v>
      </c>
      <c r="B29" s="5">
        <v>34.75</v>
      </c>
      <c r="C29" s="6">
        <f t="shared" si="1"/>
        <v>37.1825</v>
      </c>
      <c r="D29" s="6">
        <f t="shared" si="2"/>
        <v>40.90075</v>
      </c>
      <c r="E29" s="7">
        <v>2.0</v>
      </c>
      <c r="F29" s="8">
        <f t="shared" si="3"/>
        <v>20.450375</v>
      </c>
    </row>
    <row r="30">
      <c r="A30" s="4" t="s">
        <v>22</v>
      </c>
      <c r="B30" s="5">
        <v>32.0</v>
      </c>
      <c r="C30" s="6">
        <f t="shared" si="1"/>
        <v>34.24</v>
      </c>
      <c r="D30" s="6">
        <f t="shared" si="2"/>
        <v>37.664</v>
      </c>
      <c r="E30" s="7">
        <v>2.0</v>
      </c>
      <c r="F30" s="8">
        <f t="shared" si="3"/>
        <v>18.832</v>
      </c>
    </row>
    <row r="31">
      <c r="A31" s="4" t="s">
        <v>172</v>
      </c>
      <c r="B31" s="5">
        <v>78.0</v>
      </c>
      <c r="C31" s="6">
        <f t="shared" si="1"/>
        <v>83.46</v>
      </c>
      <c r="D31" s="6">
        <f t="shared" si="2"/>
        <v>91.806</v>
      </c>
      <c r="E31" s="7">
        <v>2.0</v>
      </c>
      <c r="F31" s="8">
        <f t="shared" si="3"/>
        <v>45.903</v>
      </c>
    </row>
    <row r="32">
      <c r="A32" s="4" t="s">
        <v>122</v>
      </c>
      <c r="B32" s="5">
        <v>105.0</v>
      </c>
      <c r="C32" s="6">
        <f t="shared" si="1"/>
        <v>112.35</v>
      </c>
      <c r="D32" s="6">
        <f t="shared" si="2"/>
        <v>123.585</v>
      </c>
      <c r="E32" s="7">
        <v>2.0</v>
      </c>
      <c r="F32" s="8">
        <f t="shared" si="3"/>
        <v>61.7925</v>
      </c>
    </row>
    <row r="33">
      <c r="A33" s="4" t="s">
        <v>123</v>
      </c>
      <c r="B33" s="5">
        <v>96.5</v>
      </c>
      <c r="C33" s="6">
        <f t="shared" si="1"/>
        <v>103.255</v>
      </c>
      <c r="D33" s="6">
        <f t="shared" si="2"/>
        <v>113.5805</v>
      </c>
      <c r="E33" s="7">
        <v>2.0</v>
      </c>
      <c r="F33" s="8">
        <f t="shared" si="3"/>
        <v>56.79025</v>
      </c>
    </row>
    <row r="34">
      <c r="A34" s="4" t="s">
        <v>134</v>
      </c>
      <c r="B34" s="5">
        <v>69.0</v>
      </c>
      <c r="C34" s="6">
        <f t="shared" si="1"/>
        <v>73.83</v>
      </c>
      <c r="D34" s="6">
        <f t="shared" si="2"/>
        <v>81.213</v>
      </c>
      <c r="E34" s="7">
        <v>2.0</v>
      </c>
      <c r="F34" s="8">
        <f t="shared" si="3"/>
        <v>40.6065</v>
      </c>
    </row>
    <row r="35">
      <c r="A35" s="4" t="s">
        <v>124</v>
      </c>
      <c r="B35" s="5">
        <v>104.99</v>
      </c>
      <c r="C35" s="6">
        <f t="shared" si="1"/>
        <v>112.3393</v>
      </c>
      <c r="D35" s="6">
        <f t="shared" si="2"/>
        <v>123.57323</v>
      </c>
      <c r="E35" s="7">
        <v>2.0</v>
      </c>
      <c r="F35" s="8">
        <f t="shared" si="3"/>
        <v>61.786615</v>
      </c>
    </row>
    <row r="36">
      <c r="A36" s="4" t="s">
        <v>125</v>
      </c>
      <c r="B36" s="5">
        <v>123.8</v>
      </c>
      <c r="C36" s="6">
        <f t="shared" si="1"/>
        <v>132.466</v>
      </c>
      <c r="D36" s="6">
        <f t="shared" si="2"/>
        <v>145.7126</v>
      </c>
      <c r="E36" s="7">
        <v>1.5</v>
      </c>
      <c r="F36" s="8">
        <f t="shared" si="3"/>
        <v>97.14173333</v>
      </c>
    </row>
    <row r="37">
      <c r="A37" s="4" t="s">
        <v>39</v>
      </c>
      <c r="B37" s="5">
        <v>169.5</v>
      </c>
      <c r="C37" s="6">
        <f t="shared" si="1"/>
        <v>181.365</v>
      </c>
      <c r="D37" s="6">
        <f t="shared" si="2"/>
        <v>199.5015</v>
      </c>
      <c r="E37" s="7">
        <v>3.5</v>
      </c>
      <c r="F37" s="8">
        <f t="shared" si="3"/>
        <v>57.00042857</v>
      </c>
    </row>
    <row r="38">
      <c r="A38" s="4" t="s">
        <v>42</v>
      </c>
      <c r="B38" s="5">
        <v>51.99</v>
      </c>
      <c r="C38" s="6">
        <f t="shared" si="1"/>
        <v>55.6293</v>
      </c>
      <c r="D38" s="6">
        <f t="shared" si="2"/>
        <v>61.19223</v>
      </c>
      <c r="E38" s="7">
        <v>5.0</v>
      </c>
      <c r="F38" s="8">
        <f t="shared" si="3"/>
        <v>12.238446</v>
      </c>
    </row>
    <row r="39">
      <c r="A39" s="4" t="s">
        <v>29</v>
      </c>
      <c r="B39" s="5">
        <v>38.0</v>
      </c>
      <c r="C39" s="6">
        <f t="shared" si="1"/>
        <v>40.66</v>
      </c>
      <c r="D39" s="6">
        <f t="shared" si="2"/>
        <v>44.726</v>
      </c>
      <c r="E39" s="7">
        <v>7.0</v>
      </c>
      <c r="F39" s="8">
        <f t="shared" si="3"/>
        <v>6.389428571</v>
      </c>
    </row>
    <row r="40">
      <c r="A40" s="4" t="s">
        <v>105</v>
      </c>
      <c r="B40" s="5">
        <v>41.99</v>
      </c>
      <c r="C40" s="6">
        <f t="shared" si="1"/>
        <v>44.9293</v>
      </c>
      <c r="D40" s="6">
        <f t="shared" si="2"/>
        <v>49.42223</v>
      </c>
      <c r="E40" s="7">
        <v>5.0</v>
      </c>
      <c r="F40" s="8">
        <f t="shared" si="3"/>
        <v>9.884446</v>
      </c>
    </row>
    <row r="41">
      <c r="A41" s="4" t="s">
        <v>31</v>
      </c>
      <c r="B41" s="5">
        <v>151.99</v>
      </c>
      <c r="C41" s="6">
        <f t="shared" si="1"/>
        <v>162.6293</v>
      </c>
      <c r="D41" s="6">
        <f t="shared" si="2"/>
        <v>178.89223</v>
      </c>
      <c r="E41" s="7">
        <v>2.5</v>
      </c>
      <c r="F41" s="8">
        <f t="shared" si="3"/>
        <v>71.556892</v>
      </c>
    </row>
    <row r="42">
      <c r="A42" s="4" t="s">
        <v>33</v>
      </c>
      <c r="B42" s="5">
        <v>17.5</v>
      </c>
      <c r="C42" s="6">
        <f t="shared" si="1"/>
        <v>18.725</v>
      </c>
      <c r="D42" s="6">
        <f t="shared" si="2"/>
        <v>20.5975</v>
      </c>
      <c r="E42" s="7">
        <v>1.25</v>
      </c>
      <c r="F42" s="8">
        <f t="shared" si="3"/>
        <v>16.478</v>
      </c>
    </row>
    <row r="43">
      <c r="A43" s="4" t="s">
        <v>34</v>
      </c>
      <c r="B43" s="5">
        <v>19.25</v>
      </c>
      <c r="C43" s="6">
        <f t="shared" si="1"/>
        <v>20.5975</v>
      </c>
      <c r="D43" s="6">
        <f t="shared" si="2"/>
        <v>22.65725</v>
      </c>
      <c r="E43" s="7">
        <v>1.25</v>
      </c>
      <c r="F43" s="8">
        <f t="shared" si="3"/>
        <v>18.1258</v>
      </c>
    </row>
    <row r="44">
      <c r="A44" s="4" t="s">
        <v>35</v>
      </c>
      <c r="B44" s="5">
        <v>19.95</v>
      </c>
      <c r="C44" s="6">
        <f t="shared" si="1"/>
        <v>21.3465</v>
      </c>
      <c r="D44" s="6">
        <f t="shared" si="2"/>
        <v>23.48115</v>
      </c>
      <c r="E44" s="7">
        <v>1.25</v>
      </c>
      <c r="F44" s="8">
        <f t="shared" si="3"/>
        <v>18.78492</v>
      </c>
    </row>
    <row r="45">
      <c r="A45" s="4" t="s">
        <v>36</v>
      </c>
      <c r="B45" s="5">
        <v>27.99</v>
      </c>
      <c r="C45" s="6">
        <f t="shared" si="1"/>
        <v>29.9493</v>
      </c>
      <c r="D45" s="6">
        <f t="shared" si="2"/>
        <v>32.94423</v>
      </c>
      <c r="E45" s="7">
        <v>0.333</v>
      </c>
      <c r="F45" s="8">
        <f t="shared" si="3"/>
        <v>98.93162162</v>
      </c>
    </row>
    <row r="46">
      <c r="A46" s="4" t="s">
        <v>135</v>
      </c>
      <c r="B46" s="5">
        <v>50.0</v>
      </c>
      <c r="C46" s="6">
        <f t="shared" si="1"/>
        <v>53.5</v>
      </c>
      <c r="D46" s="6">
        <f t="shared" si="2"/>
        <v>58.85</v>
      </c>
      <c r="E46" s="7">
        <v>20.0</v>
      </c>
      <c r="F46" s="8">
        <f t="shared" si="3"/>
        <v>2.9425</v>
      </c>
    </row>
    <row r="47">
      <c r="A47" s="4" t="s">
        <v>136</v>
      </c>
      <c r="B47" s="5">
        <v>50.0</v>
      </c>
      <c r="C47" s="6">
        <f t="shared" si="1"/>
        <v>53.5</v>
      </c>
      <c r="D47" s="6">
        <f t="shared" si="2"/>
        <v>58.85</v>
      </c>
      <c r="E47" s="7">
        <v>3.0</v>
      </c>
      <c r="F47" s="8">
        <f t="shared" si="3"/>
        <v>19.61666667</v>
      </c>
    </row>
    <row r="48">
      <c r="A48" s="4" t="s">
        <v>106</v>
      </c>
      <c r="B48" s="5">
        <v>32.67</v>
      </c>
      <c r="C48" s="6">
        <f t="shared" si="1"/>
        <v>34.9569</v>
      </c>
      <c r="D48" s="6">
        <f t="shared" si="2"/>
        <v>38.45259</v>
      </c>
      <c r="E48" s="7">
        <v>0.333</v>
      </c>
      <c r="F48" s="8">
        <f t="shared" si="3"/>
        <v>115.4732432</v>
      </c>
    </row>
    <row r="49">
      <c r="A49" s="4" t="s">
        <v>38</v>
      </c>
      <c r="B49" s="5">
        <v>32.67</v>
      </c>
      <c r="C49" s="6">
        <f t="shared" si="1"/>
        <v>34.9569</v>
      </c>
      <c r="D49" s="6">
        <f t="shared" si="2"/>
        <v>38.45259</v>
      </c>
      <c r="E49" s="7">
        <v>0.333</v>
      </c>
      <c r="F49" s="8">
        <f t="shared" si="3"/>
        <v>115.4732432</v>
      </c>
    </row>
    <row r="50">
      <c r="A50" s="4" t="s">
        <v>137</v>
      </c>
      <c r="B50" s="5">
        <v>110.26</v>
      </c>
      <c r="C50" s="6">
        <f t="shared" si="1"/>
        <v>117.9782</v>
      </c>
      <c r="D50" s="6">
        <f t="shared" si="2"/>
        <v>129.77602</v>
      </c>
      <c r="E50" s="7">
        <v>2.0</v>
      </c>
      <c r="F50" s="8">
        <f t="shared" si="3"/>
        <v>64.88801</v>
      </c>
    </row>
    <row r="51">
      <c r="A51" s="4" t="s">
        <v>138</v>
      </c>
      <c r="B51" s="5">
        <v>105.99</v>
      </c>
      <c r="C51" s="6">
        <f t="shared" si="1"/>
        <v>113.4093</v>
      </c>
      <c r="D51" s="6">
        <f t="shared" si="2"/>
        <v>124.75023</v>
      </c>
      <c r="E51" s="7">
        <v>2.0</v>
      </c>
      <c r="F51" s="8">
        <f t="shared" si="3"/>
        <v>62.375115</v>
      </c>
    </row>
    <row r="52">
      <c r="A52" s="4" t="s">
        <v>139</v>
      </c>
      <c r="B52" s="5">
        <v>101.99</v>
      </c>
      <c r="C52" s="6">
        <f t="shared" si="1"/>
        <v>109.1293</v>
      </c>
      <c r="D52" s="6">
        <f t="shared" si="2"/>
        <v>120.04223</v>
      </c>
      <c r="E52" s="7">
        <v>1.0</v>
      </c>
      <c r="F52" s="8">
        <f t="shared" si="3"/>
        <v>120.04223</v>
      </c>
    </row>
    <row r="53">
      <c r="A53" s="4" t="s">
        <v>44</v>
      </c>
      <c r="B53" s="5">
        <v>119.99</v>
      </c>
      <c r="C53" s="6">
        <f t="shared" si="1"/>
        <v>128.3893</v>
      </c>
      <c r="D53" s="6">
        <f t="shared" si="2"/>
        <v>141.22823</v>
      </c>
      <c r="E53" s="7">
        <v>2.0</v>
      </c>
      <c r="F53" s="8">
        <f t="shared" si="3"/>
        <v>70.614115</v>
      </c>
    </row>
    <row r="54">
      <c r="A54" s="4" t="s">
        <v>45</v>
      </c>
      <c r="B54" s="5">
        <v>115.99</v>
      </c>
      <c r="C54" s="6">
        <f t="shared" si="1"/>
        <v>124.1093</v>
      </c>
      <c r="D54" s="6">
        <f t="shared" si="2"/>
        <v>136.52023</v>
      </c>
      <c r="E54" s="7">
        <v>1.0</v>
      </c>
      <c r="F54" s="8">
        <f t="shared" si="3"/>
        <v>136.52023</v>
      </c>
    </row>
    <row r="55">
      <c r="A55" s="4" t="s">
        <v>46</v>
      </c>
      <c r="B55" s="5">
        <v>125.0</v>
      </c>
      <c r="C55" s="6">
        <f t="shared" si="1"/>
        <v>133.75</v>
      </c>
      <c r="D55" s="6">
        <f t="shared" si="2"/>
        <v>147.125</v>
      </c>
      <c r="E55" s="7">
        <v>1.5</v>
      </c>
      <c r="F55" s="8">
        <f t="shared" si="3"/>
        <v>98.08333333</v>
      </c>
    </row>
    <row r="56">
      <c r="A56" s="4" t="s">
        <v>48</v>
      </c>
      <c r="B56" s="5">
        <v>152.99</v>
      </c>
      <c r="C56" s="6">
        <f t="shared" si="1"/>
        <v>163.6993</v>
      </c>
      <c r="D56" s="6">
        <f t="shared" si="2"/>
        <v>180.06923</v>
      </c>
      <c r="E56" s="7">
        <v>1.0</v>
      </c>
      <c r="F56" s="8">
        <f t="shared" si="3"/>
        <v>180.06923</v>
      </c>
    </row>
    <row r="57">
      <c r="A57" s="4" t="s">
        <v>49</v>
      </c>
      <c r="B57" s="5">
        <v>152.99</v>
      </c>
      <c r="C57" s="6">
        <f t="shared" si="1"/>
        <v>163.6993</v>
      </c>
      <c r="D57" s="6">
        <f t="shared" si="2"/>
        <v>180.06923</v>
      </c>
      <c r="E57" s="7">
        <v>1.0</v>
      </c>
      <c r="F57" s="8">
        <f t="shared" si="3"/>
        <v>180.06923</v>
      </c>
    </row>
    <row r="58">
      <c r="A58" s="4" t="s">
        <v>50</v>
      </c>
      <c r="B58" s="5">
        <v>16.0</v>
      </c>
      <c r="C58" s="6">
        <f t="shared" si="1"/>
        <v>17.12</v>
      </c>
      <c r="D58" s="6">
        <f t="shared" si="2"/>
        <v>18.832</v>
      </c>
      <c r="E58" s="7">
        <v>0.16</v>
      </c>
      <c r="F58" s="8">
        <f t="shared" si="3"/>
        <v>117.7</v>
      </c>
    </row>
    <row r="59">
      <c r="A59" s="4" t="s">
        <v>51</v>
      </c>
      <c r="B59" s="5">
        <v>20.5</v>
      </c>
      <c r="C59" s="6">
        <f t="shared" si="1"/>
        <v>21.935</v>
      </c>
      <c r="D59" s="6">
        <f t="shared" si="2"/>
        <v>24.1285</v>
      </c>
      <c r="E59" s="7">
        <v>0.16</v>
      </c>
      <c r="F59" s="8">
        <f t="shared" si="3"/>
        <v>150.803125</v>
      </c>
    </row>
    <row r="60">
      <c r="A60" s="4" t="s">
        <v>140</v>
      </c>
      <c r="B60" s="5">
        <v>11.43</v>
      </c>
      <c r="C60" s="6">
        <f t="shared" si="1"/>
        <v>12.2301</v>
      </c>
      <c r="D60" s="6">
        <f t="shared" si="2"/>
        <v>13.45311</v>
      </c>
      <c r="E60" s="7">
        <v>0.16</v>
      </c>
      <c r="F60" s="8">
        <f t="shared" si="3"/>
        <v>84.0819375</v>
      </c>
    </row>
    <row r="61">
      <c r="A61" s="4" t="s">
        <v>141</v>
      </c>
      <c r="B61" s="5">
        <v>13.2</v>
      </c>
      <c r="C61" s="6">
        <f t="shared" si="1"/>
        <v>14.124</v>
      </c>
      <c r="D61" s="6">
        <f t="shared" si="2"/>
        <v>15.5364</v>
      </c>
      <c r="E61" s="7">
        <v>0.16</v>
      </c>
      <c r="F61" s="8">
        <f t="shared" si="3"/>
        <v>97.1025</v>
      </c>
    </row>
    <row r="62">
      <c r="A62" s="4" t="s">
        <v>142</v>
      </c>
      <c r="B62" s="5">
        <v>17.6</v>
      </c>
      <c r="C62" s="6">
        <f t="shared" si="1"/>
        <v>18.832</v>
      </c>
      <c r="D62" s="6">
        <f t="shared" si="2"/>
        <v>20.7152</v>
      </c>
      <c r="E62" s="7">
        <v>0.16</v>
      </c>
      <c r="F62" s="8">
        <f t="shared" si="3"/>
        <v>129.47</v>
      </c>
    </row>
    <row r="63">
      <c r="A63" s="4" t="s">
        <v>143</v>
      </c>
      <c r="B63" s="5">
        <v>23.83</v>
      </c>
      <c r="C63" s="6">
        <f t="shared" si="1"/>
        <v>25.4981</v>
      </c>
      <c r="D63" s="6">
        <f t="shared" si="2"/>
        <v>28.04791</v>
      </c>
      <c r="E63" s="7">
        <v>0.16</v>
      </c>
      <c r="F63" s="8">
        <f t="shared" si="3"/>
        <v>175.2994375</v>
      </c>
    </row>
    <row r="64">
      <c r="A64" s="4" t="s">
        <v>144</v>
      </c>
      <c r="B64" s="5">
        <v>29.53</v>
      </c>
      <c r="C64" s="6">
        <f t="shared" si="1"/>
        <v>31.5971</v>
      </c>
      <c r="D64" s="6">
        <f t="shared" si="2"/>
        <v>34.75681</v>
      </c>
      <c r="E64" s="7">
        <v>0.16</v>
      </c>
      <c r="F64" s="8">
        <f t="shared" si="3"/>
        <v>217.2300625</v>
      </c>
    </row>
    <row r="65">
      <c r="A65" s="4" t="s">
        <v>57</v>
      </c>
      <c r="B65" s="5">
        <v>1340.0</v>
      </c>
      <c r="C65" s="6">
        <f t="shared" si="1"/>
        <v>1433.8</v>
      </c>
      <c r="D65" s="6">
        <f t="shared" si="2"/>
        <v>1577.18</v>
      </c>
      <c r="E65" s="7">
        <v>25.0</v>
      </c>
      <c r="F65" s="8">
        <f t="shared" si="3"/>
        <v>63.0872</v>
      </c>
    </row>
    <row r="66">
      <c r="A66" s="4" t="s">
        <v>145</v>
      </c>
      <c r="B66" s="5">
        <v>145.9</v>
      </c>
      <c r="C66" s="6">
        <f t="shared" si="1"/>
        <v>156.113</v>
      </c>
      <c r="D66" s="6">
        <f t="shared" si="2"/>
        <v>171.7243</v>
      </c>
      <c r="E66" s="9">
        <v>15.0</v>
      </c>
      <c r="F66" s="8">
        <f t="shared" si="3"/>
        <v>11.44828667</v>
      </c>
    </row>
    <row r="67">
      <c r="A67" s="4" t="s">
        <v>146</v>
      </c>
      <c r="B67" s="5">
        <v>179.9</v>
      </c>
      <c r="C67" s="6">
        <f t="shared" si="1"/>
        <v>192.493</v>
      </c>
      <c r="D67" s="6">
        <f t="shared" si="2"/>
        <v>211.7423</v>
      </c>
      <c r="E67" s="9">
        <v>15.0</v>
      </c>
      <c r="F67" s="8">
        <f t="shared" si="3"/>
        <v>14.11615333</v>
      </c>
    </row>
    <row r="68">
      <c r="A68" s="4" t="s">
        <v>60</v>
      </c>
      <c r="B68" s="5" t="s">
        <v>102</v>
      </c>
      <c r="C68" s="6" t="str">
        <f t="shared" si="1"/>
        <v>#VALUE!</v>
      </c>
      <c r="D68" s="6" t="str">
        <f t="shared" si="2"/>
        <v>#VALUE!</v>
      </c>
      <c r="E68" s="9">
        <v>15.0</v>
      </c>
      <c r="F68" s="8" t="str">
        <f t="shared" si="3"/>
        <v>#VALUE!</v>
      </c>
    </row>
    <row r="69">
      <c r="A69" s="4" t="s">
        <v>61</v>
      </c>
      <c r="B69" s="5" t="s">
        <v>102</v>
      </c>
      <c r="C69" s="6" t="str">
        <f t="shared" si="1"/>
        <v>#VALUE!</v>
      </c>
      <c r="D69" s="6" t="str">
        <f t="shared" si="2"/>
        <v>#VALUE!</v>
      </c>
      <c r="E69" s="9">
        <v>15.0</v>
      </c>
      <c r="F69" s="8" t="str">
        <f t="shared" si="3"/>
        <v>#VALUE!</v>
      </c>
    </row>
    <row r="70">
      <c r="A70" s="4" t="s">
        <v>62</v>
      </c>
      <c r="B70" s="5" t="s">
        <v>102</v>
      </c>
      <c r="C70" s="6" t="str">
        <f t="shared" si="1"/>
        <v>#VALUE!</v>
      </c>
      <c r="D70" s="6" t="str">
        <f t="shared" si="2"/>
        <v>#VALUE!</v>
      </c>
      <c r="E70" s="9">
        <v>15.0</v>
      </c>
      <c r="F70" s="8" t="str">
        <f t="shared" si="3"/>
        <v>#VALUE!</v>
      </c>
    </row>
    <row r="71">
      <c r="A71" s="4" t="s">
        <v>63</v>
      </c>
      <c r="B71" s="5" t="s">
        <v>102</v>
      </c>
      <c r="C71" s="6" t="str">
        <f t="shared" si="1"/>
        <v>#VALUE!</v>
      </c>
      <c r="D71" s="6" t="str">
        <f t="shared" si="2"/>
        <v>#VALUE!</v>
      </c>
      <c r="E71" s="9">
        <v>15.0</v>
      </c>
      <c r="F71" s="8" t="str">
        <f t="shared" si="3"/>
        <v>#VALUE!</v>
      </c>
    </row>
    <row r="72">
      <c r="A72" s="4" t="s">
        <v>64</v>
      </c>
      <c r="B72" s="5" t="s">
        <v>102</v>
      </c>
      <c r="C72" s="6" t="str">
        <f t="shared" si="1"/>
        <v>#VALUE!</v>
      </c>
      <c r="D72" s="6" t="str">
        <f t="shared" si="2"/>
        <v>#VALUE!</v>
      </c>
      <c r="E72" s="9">
        <v>15.0</v>
      </c>
      <c r="F72" s="8" t="str">
        <f t="shared" si="3"/>
        <v>#VALUE!</v>
      </c>
    </row>
    <row r="73">
      <c r="A73" s="4" t="s">
        <v>65</v>
      </c>
      <c r="B73" s="5" t="s">
        <v>102</v>
      </c>
      <c r="C73" s="6" t="str">
        <f t="shared" si="1"/>
        <v>#VALUE!</v>
      </c>
      <c r="D73" s="6" t="str">
        <f t="shared" si="2"/>
        <v>#VALUE!</v>
      </c>
      <c r="E73" s="9">
        <v>15.0</v>
      </c>
      <c r="F73" s="8" t="str">
        <f t="shared" si="3"/>
        <v>#VALUE!</v>
      </c>
    </row>
    <row r="74">
      <c r="A74" s="4" t="s">
        <v>147</v>
      </c>
      <c r="B74" s="5">
        <v>287.0</v>
      </c>
      <c r="C74" s="6">
        <f t="shared" si="1"/>
        <v>307.09</v>
      </c>
      <c r="D74" s="6">
        <f t="shared" si="2"/>
        <v>337.799</v>
      </c>
      <c r="E74" s="9">
        <v>20.0</v>
      </c>
      <c r="F74" s="8">
        <f t="shared" si="3"/>
        <v>16.88995</v>
      </c>
    </row>
    <row r="75">
      <c r="A75" s="4" t="s">
        <v>148</v>
      </c>
      <c r="B75" s="5">
        <v>404.0</v>
      </c>
      <c r="C75" s="6">
        <f t="shared" si="1"/>
        <v>432.28</v>
      </c>
      <c r="D75" s="6">
        <f t="shared" si="2"/>
        <v>475.508</v>
      </c>
      <c r="E75" s="9">
        <v>30.0</v>
      </c>
      <c r="F75" s="8">
        <f t="shared" si="3"/>
        <v>15.85026667</v>
      </c>
    </row>
    <row r="76">
      <c r="A76" s="4" t="s">
        <v>149</v>
      </c>
      <c r="B76" s="5">
        <v>860.0</v>
      </c>
      <c r="C76" s="6">
        <f t="shared" si="1"/>
        <v>920.2</v>
      </c>
      <c r="D76" s="6">
        <f t="shared" si="2"/>
        <v>1012.22</v>
      </c>
      <c r="E76" s="7">
        <v>10.0</v>
      </c>
      <c r="F76" s="8">
        <f t="shared" si="3"/>
        <v>101.222</v>
      </c>
    </row>
    <row r="77">
      <c r="A77" s="4" t="s">
        <v>150</v>
      </c>
      <c r="B77" s="5">
        <v>430.0</v>
      </c>
      <c r="C77" s="6">
        <f t="shared" si="1"/>
        <v>460.1</v>
      </c>
      <c r="D77" s="6">
        <f t="shared" si="2"/>
        <v>506.11</v>
      </c>
      <c r="E77" s="7">
        <v>5.0</v>
      </c>
      <c r="F77" s="8">
        <f t="shared" si="3"/>
        <v>101.222</v>
      </c>
    </row>
    <row r="78">
      <c r="A78" s="4" t="s">
        <v>151</v>
      </c>
      <c r="B78" s="5">
        <v>931.0</v>
      </c>
      <c r="C78" s="6">
        <f t="shared" si="1"/>
        <v>996.17</v>
      </c>
      <c r="D78" s="6">
        <f t="shared" si="2"/>
        <v>1095.787</v>
      </c>
      <c r="E78" s="7">
        <v>10.0</v>
      </c>
      <c r="F78" s="8">
        <f t="shared" si="3"/>
        <v>109.5787</v>
      </c>
    </row>
    <row r="79">
      <c r="A79" s="4" t="s">
        <v>152</v>
      </c>
      <c r="B79" s="5">
        <v>375.5</v>
      </c>
      <c r="C79" s="6">
        <f t="shared" si="1"/>
        <v>401.785</v>
      </c>
      <c r="D79" s="6">
        <f t="shared" si="2"/>
        <v>441.9635</v>
      </c>
      <c r="E79" s="7">
        <v>20.0</v>
      </c>
      <c r="F79" s="8">
        <f t="shared" si="3"/>
        <v>22.098175</v>
      </c>
    </row>
    <row r="80">
      <c r="A80" s="4" t="s">
        <v>153</v>
      </c>
      <c r="B80" s="5">
        <v>154.4</v>
      </c>
      <c r="C80" s="6">
        <f t="shared" si="1"/>
        <v>165.208</v>
      </c>
      <c r="D80" s="6">
        <f t="shared" si="2"/>
        <v>181.7288</v>
      </c>
      <c r="E80" s="9">
        <v>3.0</v>
      </c>
      <c r="F80" s="8">
        <f t="shared" si="3"/>
        <v>60.57626667</v>
      </c>
    </row>
    <row r="81">
      <c r="A81" s="4" t="s">
        <v>154</v>
      </c>
      <c r="B81" s="5">
        <v>34.0</v>
      </c>
      <c r="C81" s="6">
        <f t="shared" si="1"/>
        <v>36.38</v>
      </c>
      <c r="D81" s="6">
        <f t="shared" si="2"/>
        <v>40.018</v>
      </c>
      <c r="E81" s="9">
        <v>20.0</v>
      </c>
      <c r="F81" s="8">
        <f t="shared" si="3"/>
        <v>2.0009</v>
      </c>
    </row>
    <row r="82">
      <c r="A82" s="4" t="s">
        <v>155</v>
      </c>
      <c r="B82" s="5">
        <v>58.0</v>
      </c>
      <c r="C82" s="6">
        <f t="shared" si="1"/>
        <v>62.06</v>
      </c>
      <c r="D82" s="6">
        <f t="shared" si="2"/>
        <v>68.266</v>
      </c>
      <c r="E82" s="9">
        <v>20.0</v>
      </c>
      <c r="F82" s="8">
        <f t="shared" si="3"/>
        <v>3.4133</v>
      </c>
    </row>
    <row r="83">
      <c r="A83" s="4" t="s">
        <v>156</v>
      </c>
      <c r="B83" s="5">
        <v>44.5</v>
      </c>
      <c r="C83" s="6">
        <f t="shared" si="1"/>
        <v>47.615</v>
      </c>
      <c r="D83" s="6">
        <f t="shared" si="2"/>
        <v>52.3765</v>
      </c>
      <c r="E83" s="10">
        <v>1.0</v>
      </c>
      <c r="F83" s="8">
        <f t="shared" si="3"/>
        <v>52.3765</v>
      </c>
    </row>
    <row r="84">
      <c r="A84" s="4" t="s">
        <v>157</v>
      </c>
      <c r="B84" s="5">
        <v>100.0</v>
      </c>
      <c r="C84" s="6">
        <f t="shared" si="1"/>
        <v>107</v>
      </c>
      <c r="D84" s="6">
        <f t="shared" si="2"/>
        <v>117.7</v>
      </c>
      <c r="E84" s="10">
        <v>20.0</v>
      </c>
      <c r="F84" s="8">
        <f t="shared" si="3"/>
        <v>5.885</v>
      </c>
    </row>
    <row r="85">
      <c r="A85" s="4" t="s">
        <v>158</v>
      </c>
      <c r="B85" s="5">
        <v>12.0</v>
      </c>
      <c r="C85" s="6">
        <f t="shared" si="1"/>
        <v>12.84</v>
      </c>
      <c r="D85" s="6">
        <f t="shared" si="2"/>
        <v>14.124</v>
      </c>
      <c r="E85" s="10">
        <v>75.0</v>
      </c>
      <c r="F85" s="8">
        <f t="shared" si="3"/>
        <v>0.18832</v>
      </c>
    </row>
    <row r="86">
      <c r="A86" s="4" t="s">
        <v>159</v>
      </c>
      <c r="B86" s="26"/>
      <c r="C86" s="6">
        <f t="shared" si="1"/>
        <v>0</v>
      </c>
      <c r="D86" s="6">
        <f t="shared" si="2"/>
        <v>0</v>
      </c>
      <c r="E86" s="7">
        <v>5.0</v>
      </c>
      <c r="F86" s="8">
        <f t="shared" si="3"/>
        <v>0</v>
      </c>
    </row>
    <row r="87">
      <c r="A87" s="4" t="s">
        <v>160</v>
      </c>
      <c r="B87" s="26"/>
      <c r="C87" s="6">
        <f t="shared" si="1"/>
        <v>0</v>
      </c>
      <c r="D87" s="6">
        <f t="shared" si="2"/>
        <v>0</v>
      </c>
      <c r="E87" s="7">
        <v>5.0</v>
      </c>
      <c r="F87" s="8">
        <f t="shared" si="3"/>
        <v>0</v>
      </c>
    </row>
    <row r="88">
      <c r="A88" s="4" t="s">
        <v>79</v>
      </c>
      <c r="B88" s="5">
        <v>312.0</v>
      </c>
      <c r="C88" s="6">
        <f t="shared" si="1"/>
        <v>333.84</v>
      </c>
      <c r="D88" s="6">
        <f t="shared" si="2"/>
        <v>367.224</v>
      </c>
      <c r="E88" s="7">
        <v>4.0</v>
      </c>
      <c r="F88" s="8">
        <f t="shared" si="3"/>
        <v>91.806</v>
      </c>
    </row>
    <row r="89">
      <c r="A89" s="4" t="s">
        <v>161</v>
      </c>
      <c r="B89" s="5">
        <v>303.0</v>
      </c>
      <c r="C89" s="6">
        <f t="shared" si="1"/>
        <v>324.21</v>
      </c>
      <c r="D89" s="6">
        <f t="shared" si="2"/>
        <v>356.631</v>
      </c>
      <c r="E89" s="7">
        <v>7.5</v>
      </c>
      <c r="F89" s="8">
        <f t="shared" si="3"/>
        <v>47.5508</v>
      </c>
    </row>
    <row r="90">
      <c r="A90" s="4" t="s">
        <v>83</v>
      </c>
      <c r="B90" s="5">
        <v>239.0</v>
      </c>
      <c r="C90" s="6">
        <f t="shared" si="1"/>
        <v>255.73</v>
      </c>
      <c r="D90" s="6">
        <f t="shared" si="2"/>
        <v>281.303</v>
      </c>
      <c r="E90" s="7">
        <v>7.5</v>
      </c>
      <c r="F90" s="8">
        <f t="shared" si="3"/>
        <v>37.50706667</v>
      </c>
    </row>
    <row r="91">
      <c r="A91" s="4" t="s">
        <v>162</v>
      </c>
      <c r="B91" s="5">
        <v>296.0</v>
      </c>
      <c r="C91" s="6">
        <f t="shared" si="1"/>
        <v>316.72</v>
      </c>
      <c r="D91" s="6">
        <f t="shared" si="2"/>
        <v>348.392</v>
      </c>
      <c r="E91" s="7">
        <v>5.0</v>
      </c>
      <c r="F91" s="8">
        <f t="shared" si="3"/>
        <v>69.6784</v>
      </c>
    </row>
    <row r="92">
      <c r="A92" s="4" t="s">
        <v>163</v>
      </c>
      <c r="B92" s="5">
        <v>218.99</v>
      </c>
      <c r="C92" s="6">
        <f t="shared" si="1"/>
        <v>234.3193</v>
      </c>
      <c r="D92" s="6">
        <f t="shared" si="2"/>
        <v>257.75123</v>
      </c>
      <c r="E92" s="7">
        <v>5.0</v>
      </c>
      <c r="F92" s="8">
        <f t="shared" si="3"/>
        <v>51.550246</v>
      </c>
    </row>
    <row r="93">
      <c r="A93" s="4" t="s">
        <v>164</v>
      </c>
      <c r="B93" s="5">
        <v>208.0</v>
      </c>
      <c r="C93" s="6">
        <f t="shared" si="1"/>
        <v>222.56</v>
      </c>
      <c r="D93" s="6">
        <f t="shared" si="2"/>
        <v>244.816</v>
      </c>
      <c r="E93" s="7">
        <v>4.0</v>
      </c>
      <c r="F93" s="8">
        <f t="shared" si="3"/>
        <v>61.204</v>
      </c>
    </row>
    <row r="94">
      <c r="A94" s="4" t="s">
        <v>165</v>
      </c>
      <c r="B94" s="5">
        <v>218.0</v>
      </c>
      <c r="C94" s="6">
        <f t="shared" si="1"/>
        <v>233.26</v>
      </c>
      <c r="D94" s="6">
        <f t="shared" si="2"/>
        <v>256.586</v>
      </c>
      <c r="E94" s="7">
        <v>10.0</v>
      </c>
      <c r="F94" s="8">
        <f t="shared" si="3"/>
        <v>25.6586</v>
      </c>
    </row>
    <row r="95">
      <c r="A95" s="4" t="s">
        <v>166</v>
      </c>
      <c r="B95" s="5">
        <v>156.0</v>
      </c>
      <c r="C95" s="6">
        <f t="shared" si="1"/>
        <v>166.92</v>
      </c>
      <c r="D95" s="6">
        <f t="shared" si="2"/>
        <v>183.612</v>
      </c>
      <c r="E95" s="7">
        <v>10.0</v>
      </c>
      <c r="F95" s="8">
        <f t="shared" si="3"/>
        <v>18.3612</v>
      </c>
    </row>
    <row r="96">
      <c r="A96" s="4" t="s">
        <v>167</v>
      </c>
      <c r="B96" s="26"/>
      <c r="C96" s="6">
        <f t="shared" si="1"/>
        <v>0</v>
      </c>
      <c r="D96" s="6">
        <f t="shared" si="2"/>
        <v>0</v>
      </c>
      <c r="E96" s="7">
        <v>10.0</v>
      </c>
      <c r="F96" s="8">
        <f t="shared" si="3"/>
        <v>0</v>
      </c>
    </row>
    <row r="97">
      <c r="A97" s="4" t="s">
        <v>168</v>
      </c>
      <c r="B97" s="5">
        <v>194.0</v>
      </c>
      <c r="C97" s="6">
        <f t="shared" si="1"/>
        <v>207.58</v>
      </c>
      <c r="D97" s="6">
        <f t="shared" si="2"/>
        <v>228.338</v>
      </c>
      <c r="E97" s="7">
        <v>3.333</v>
      </c>
      <c r="F97" s="8">
        <f t="shared" si="3"/>
        <v>68.50825083</v>
      </c>
    </row>
    <row r="98">
      <c r="A98" s="4" t="s">
        <v>169</v>
      </c>
      <c r="B98" s="5">
        <v>158.3</v>
      </c>
      <c r="C98" s="6">
        <f t="shared" si="1"/>
        <v>169.381</v>
      </c>
      <c r="D98" s="6">
        <f t="shared" si="2"/>
        <v>186.3191</v>
      </c>
      <c r="E98" s="7">
        <v>3.0</v>
      </c>
      <c r="F98" s="8">
        <f t="shared" si="3"/>
        <v>62.10636667</v>
      </c>
    </row>
    <row r="99">
      <c r="A99" s="4" t="s">
        <v>170</v>
      </c>
      <c r="B99" s="5">
        <v>46.0</v>
      </c>
      <c r="C99" s="6">
        <f t="shared" si="1"/>
        <v>49.22</v>
      </c>
      <c r="D99" s="6">
        <f t="shared" si="2"/>
        <v>54.142</v>
      </c>
      <c r="E99" s="7">
        <v>25.0</v>
      </c>
      <c r="F99" s="8">
        <f t="shared" si="3"/>
        <v>2.16568</v>
      </c>
    </row>
    <row r="100">
      <c r="A100" s="4" t="s">
        <v>88</v>
      </c>
      <c r="B100" s="5">
        <v>2459.0</v>
      </c>
      <c r="C100" s="6">
        <f t="shared" si="1"/>
        <v>2631.13</v>
      </c>
      <c r="D100" s="6">
        <f t="shared" si="2"/>
        <v>2894.243</v>
      </c>
      <c r="E100" s="7">
        <v>32.47</v>
      </c>
      <c r="F100" s="8">
        <f t="shared" si="3"/>
        <v>89.13591007</v>
      </c>
    </row>
    <row r="101">
      <c r="A101" s="4" t="s">
        <v>89</v>
      </c>
      <c r="B101" s="5">
        <v>2459.0</v>
      </c>
      <c r="C101" s="6">
        <f t="shared" si="1"/>
        <v>2631.13</v>
      </c>
      <c r="D101" s="6">
        <f t="shared" si="2"/>
        <v>2894.243</v>
      </c>
      <c r="E101" s="7">
        <v>24.35</v>
      </c>
      <c r="F101" s="8">
        <f t="shared" si="3"/>
        <v>118.8600821</v>
      </c>
    </row>
    <row r="102">
      <c r="A102" s="4" t="s">
        <v>90</v>
      </c>
      <c r="B102" s="5" t="s">
        <v>102</v>
      </c>
      <c r="C102" s="6" t="str">
        <f t="shared" si="1"/>
        <v>#VALUE!</v>
      </c>
      <c r="D102" s="6" t="str">
        <f t="shared" si="2"/>
        <v>#VALUE!</v>
      </c>
      <c r="E102" s="7">
        <v>12.0</v>
      </c>
      <c r="F102" s="8" t="str">
        <f t="shared" si="3"/>
        <v>#VALUE!</v>
      </c>
    </row>
    <row r="103">
      <c r="A103" s="4" t="s">
        <v>91</v>
      </c>
      <c r="B103" s="5" t="s">
        <v>102</v>
      </c>
      <c r="C103" s="6" t="str">
        <f t="shared" si="1"/>
        <v>#VALUE!</v>
      </c>
      <c r="D103" s="6" t="str">
        <f t="shared" si="2"/>
        <v>#VALUE!</v>
      </c>
      <c r="E103" s="7">
        <v>10.0</v>
      </c>
      <c r="F103" s="8" t="str">
        <f t="shared" si="3"/>
        <v>#VALUE!</v>
      </c>
    </row>
    <row r="104">
      <c r="A104" s="4" t="s">
        <v>92</v>
      </c>
      <c r="B104" s="5" t="s">
        <v>102</v>
      </c>
      <c r="C104" s="6" t="str">
        <f t="shared" si="1"/>
        <v>#VALUE!</v>
      </c>
      <c r="D104" s="6" t="str">
        <f t="shared" si="2"/>
        <v>#VALUE!</v>
      </c>
      <c r="E104" s="7">
        <v>6.0</v>
      </c>
      <c r="F104" s="8" t="str">
        <f t="shared" si="3"/>
        <v>#VALUE!</v>
      </c>
    </row>
    <row r="105">
      <c r="A105" s="4" t="s">
        <v>93</v>
      </c>
      <c r="B105" s="5" t="s">
        <v>102</v>
      </c>
      <c r="C105" s="6" t="str">
        <f t="shared" si="1"/>
        <v>#VALUE!</v>
      </c>
      <c r="D105" s="6" t="str">
        <f t="shared" si="2"/>
        <v>#VALUE!</v>
      </c>
      <c r="E105" s="7">
        <v>20.0</v>
      </c>
      <c r="F105" s="8" t="str">
        <f t="shared" si="3"/>
        <v>#VALUE!</v>
      </c>
    </row>
    <row r="106">
      <c r="A106" s="4" t="s">
        <v>94</v>
      </c>
      <c r="B106" s="5" t="s">
        <v>102</v>
      </c>
      <c r="C106" s="6" t="str">
        <f t="shared" si="1"/>
        <v>#VALUE!</v>
      </c>
      <c r="D106" s="6" t="str">
        <f t="shared" si="2"/>
        <v>#VALUE!</v>
      </c>
      <c r="E106" s="9">
        <v>3.0</v>
      </c>
      <c r="F106" s="8" t="str">
        <f t="shared" si="3"/>
        <v>#VALUE!</v>
      </c>
    </row>
    <row r="107">
      <c r="A107" s="4" t="s">
        <v>95</v>
      </c>
      <c r="B107" s="5" t="s">
        <v>102</v>
      </c>
      <c r="C107" s="6" t="str">
        <f t="shared" si="1"/>
        <v>#VALUE!</v>
      </c>
      <c r="D107" s="6" t="str">
        <f t="shared" si="2"/>
        <v>#VALUE!</v>
      </c>
      <c r="E107" s="9">
        <v>20.0</v>
      </c>
      <c r="F107" s="8" t="str">
        <f t="shared" si="3"/>
        <v>#VALUE!</v>
      </c>
    </row>
    <row r="108">
      <c r="A108" s="4" t="s">
        <v>96</v>
      </c>
      <c r="B108" s="5" t="s">
        <v>102</v>
      </c>
      <c r="C108" s="6" t="str">
        <f t="shared" si="1"/>
        <v>#VALUE!</v>
      </c>
      <c r="D108" s="6" t="str">
        <f t="shared" si="2"/>
        <v>#VALUE!</v>
      </c>
      <c r="E108" s="9">
        <v>20.0</v>
      </c>
      <c r="F108" s="8" t="str">
        <f t="shared" si="3"/>
        <v>#VALUE!</v>
      </c>
    </row>
    <row r="109">
      <c r="A109" s="4" t="s">
        <v>97</v>
      </c>
      <c r="B109" s="5" t="s">
        <v>102</v>
      </c>
      <c r="C109" s="6" t="str">
        <f t="shared" si="1"/>
        <v>#VALUE!</v>
      </c>
      <c r="D109" s="6" t="str">
        <f t="shared" si="2"/>
        <v>#VALUE!</v>
      </c>
      <c r="E109" s="10">
        <v>1.0</v>
      </c>
      <c r="F109" s="8" t="str">
        <f t="shared" si="3"/>
        <v>#VALUE!</v>
      </c>
    </row>
    <row r="110">
      <c r="A110" s="4" t="s">
        <v>98</v>
      </c>
      <c r="B110" s="5" t="s">
        <v>102</v>
      </c>
      <c r="C110" s="6" t="str">
        <f t="shared" si="1"/>
        <v>#VALUE!</v>
      </c>
      <c r="D110" s="6" t="str">
        <f t="shared" si="2"/>
        <v>#VALUE!</v>
      </c>
      <c r="E110" s="10">
        <v>20.0</v>
      </c>
      <c r="F110" s="8" t="str">
        <f t="shared" si="3"/>
        <v>#VALUE!</v>
      </c>
    </row>
    <row r="111">
      <c r="A111" s="4" t="s">
        <v>99</v>
      </c>
      <c r="B111" s="11" t="s">
        <v>102</v>
      </c>
      <c r="C111" s="6" t="str">
        <f t="shared" si="1"/>
        <v>#VALUE!</v>
      </c>
      <c r="D111" s="6" t="str">
        <f t="shared" si="2"/>
        <v>#VALUE!</v>
      </c>
      <c r="E111" s="7">
        <v>7.0</v>
      </c>
      <c r="F111" s="8" t="str">
        <f t="shared" si="3"/>
        <v>#VALUE!</v>
      </c>
    </row>
    <row r="112">
      <c r="A112" s="4" t="s">
        <v>100</v>
      </c>
      <c r="B112" s="5" t="s">
        <v>102</v>
      </c>
      <c r="C112" s="6" t="str">
        <f t="shared" si="1"/>
        <v>#VALUE!</v>
      </c>
      <c r="D112" s="6" t="str">
        <f t="shared" si="2"/>
        <v>#VALUE!</v>
      </c>
      <c r="E112" s="10">
        <v>75.0</v>
      </c>
      <c r="F112" s="8" t="str">
        <f t="shared" si="3"/>
        <v>#VALUE!</v>
      </c>
    </row>
    <row r="113">
      <c r="A113" s="20" t="s">
        <v>171</v>
      </c>
      <c r="B113" s="21">
        <v>160.0</v>
      </c>
      <c r="C113" s="22">
        <f t="shared" si="1"/>
        <v>171.2</v>
      </c>
      <c r="D113" s="22">
        <f t="shared" si="2"/>
        <v>188.32</v>
      </c>
      <c r="E113" s="23">
        <v>15.0</v>
      </c>
      <c r="F113" s="24">
        <f t="shared" si="3"/>
        <v>12.55466667</v>
      </c>
    </row>
    <row r="114">
      <c r="A114" s="4" t="s">
        <v>118</v>
      </c>
      <c r="B114" s="11">
        <v>168.6</v>
      </c>
      <c r="C114" s="6">
        <f t="shared" si="1"/>
        <v>180.402</v>
      </c>
      <c r="D114" s="6">
        <f t="shared" si="2"/>
        <v>198.4422</v>
      </c>
      <c r="E114" s="7">
        <v>7.5</v>
      </c>
      <c r="F114" s="8">
        <f t="shared" si="3"/>
        <v>26.45896</v>
      </c>
    </row>
    <row r="115">
      <c r="A115" s="4" t="s">
        <v>119</v>
      </c>
      <c r="B115" s="25">
        <v>37.44</v>
      </c>
      <c r="C115" s="6">
        <f t="shared" si="1"/>
        <v>40.0608</v>
      </c>
      <c r="D115" s="6">
        <f t="shared" si="2"/>
        <v>44.06688</v>
      </c>
      <c r="E115" s="7">
        <v>1.0</v>
      </c>
      <c r="F115" s="8">
        <f t="shared" si="3"/>
        <v>44.06688</v>
      </c>
    </row>
    <row r="116">
      <c r="A116" s="4" t="s">
        <v>121</v>
      </c>
      <c r="B116" s="11">
        <v>12.75</v>
      </c>
      <c r="C116" s="6">
        <f t="shared" si="1"/>
        <v>13.6425</v>
      </c>
      <c r="D116" s="6">
        <f t="shared" si="2"/>
        <v>15.00675</v>
      </c>
      <c r="E116" s="7">
        <v>1.0</v>
      </c>
      <c r="F116" s="8">
        <f t="shared" si="3"/>
        <v>15.00675</v>
      </c>
    </row>
    <row r="117">
      <c r="A117" s="12"/>
      <c r="B117" s="13"/>
      <c r="C117" s="6">
        <f t="shared" si="1"/>
        <v>0</v>
      </c>
      <c r="D117" s="6">
        <f t="shared" si="2"/>
        <v>0</v>
      </c>
      <c r="E117" s="7"/>
      <c r="F117" s="8" t="str">
        <f t="shared" si="3"/>
        <v>#DIV/0!</v>
      </c>
    </row>
    <row r="118">
      <c r="A118" s="12"/>
      <c r="B118" s="13"/>
      <c r="C118" s="6">
        <f t="shared" si="1"/>
        <v>0</v>
      </c>
      <c r="D118" s="6">
        <f t="shared" si="2"/>
        <v>0</v>
      </c>
      <c r="E118" s="7"/>
      <c r="F118" s="8" t="str">
        <f t="shared" si="3"/>
        <v>#DIV/0!</v>
      </c>
    </row>
    <row r="119">
      <c r="A119" s="12"/>
      <c r="B119" s="13"/>
      <c r="C119" s="6">
        <f t="shared" si="1"/>
        <v>0</v>
      </c>
      <c r="D119" s="6">
        <f t="shared" si="2"/>
        <v>0</v>
      </c>
      <c r="E119" s="7"/>
      <c r="F119" s="8" t="str">
        <f t="shared" si="3"/>
        <v>#DIV/0!</v>
      </c>
    </row>
    <row r="120">
      <c r="A120" s="12"/>
      <c r="B120" s="13"/>
      <c r="C120" s="6">
        <f t="shared" si="1"/>
        <v>0</v>
      </c>
      <c r="D120" s="6">
        <f t="shared" si="2"/>
        <v>0</v>
      </c>
      <c r="E120" s="7"/>
      <c r="F120" s="8" t="str">
        <f t="shared" si="3"/>
        <v>#DIV/0!</v>
      </c>
    </row>
    <row r="121">
      <c r="A121" s="12"/>
      <c r="B121" s="13"/>
      <c r="C121" s="6">
        <f t="shared" si="1"/>
        <v>0</v>
      </c>
      <c r="D121" s="6">
        <f t="shared" si="2"/>
        <v>0</v>
      </c>
      <c r="E121" s="7"/>
      <c r="F121" s="8" t="str">
        <f t="shared" si="3"/>
        <v>#DIV/0!</v>
      </c>
    </row>
    <row r="122">
      <c r="A122" s="12"/>
      <c r="B122" s="13"/>
      <c r="C122" s="6">
        <f t="shared" si="1"/>
        <v>0</v>
      </c>
      <c r="D122" s="6">
        <f t="shared" si="2"/>
        <v>0</v>
      </c>
      <c r="E122" s="7"/>
      <c r="F122" s="8" t="str">
        <f t="shared" si="3"/>
        <v>#DIV/0!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63"/>
    <col customWidth="1" min="6" max="6" width="16.0"/>
  </cols>
  <sheetData>
    <row r="1">
      <c r="A1" s="1" t="s">
        <v>173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68" si="1">B2*1.07</f>
        <v>72.7493</v>
      </c>
      <c r="D2" s="6">
        <f t="shared" ref="D2:D68" si="2">C2*1.1</f>
        <v>80.02423</v>
      </c>
      <c r="E2" s="7">
        <v>12.5</v>
      </c>
      <c r="F2" s="8">
        <f t="shared" ref="F2:F68" si="3">D2/E2</f>
        <v>6.4019384</v>
      </c>
    </row>
    <row r="3">
      <c r="A3" s="4" t="s">
        <v>126</v>
      </c>
      <c r="B3" s="5">
        <v>77.99</v>
      </c>
      <c r="C3" s="6">
        <f t="shared" si="1"/>
        <v>83.4493</v>
      </c>
      <c r="D3" s="6">
        <f t="shared" si="2"/>
        <v>91.79423</v>
      </c>
      <c r="E3" s="7">
        <v>50.0</v>
      </c>
      <c r="F3" s="8">
        <f t="shared" si="3"/>
        <v>1.8358846</v>
      </c>
    </row>
    <row r="4">
      <c r="A4" s="4" t="s">
        <v>7</v>
      </c>
      <c r="B4" s="5">
        <v>95.0</v>
      </c>
      <c r="C4" s="6">
        <f t="shared" si="1"/>
        <v>101.65</v>
      </c>
      <c r="D4" s="6">
        <f t="shared" si="2"/>
        <v>111.815</v>
      </c>
      <c r="E4" s="7">
        <v>20.0</v>
      </c>
      <c r="F4" s="8">
        <f t="shared" si="3"/>
        <v>5.59075</v>
      </c>
    </row>
    <row r="5">
      <c r="A5" s="4" t="s">
        <v>8</v>
      </c>
      <c r="B5" s="5">
        <v>40.0</v>
      </c>
      <c r="C5" s="6">
        <f t="shared" si="1"/>
        <v>42.8</v>
      </c>
      <c r="D5" s="6">
        <f t="shared" si="2"/>
        <v>47.08</v>
      </c>
      <c r="E5" s="7">
        <v>0.32</v>
      </c>
      <c r="F5" s="8">
        <f t="shared" si="3"/>
        <v>147.125</v>
      </c>
    </row>
    <row r="6">
      <c r="A6" s="4" t="s">
        <v>127</v>
      </c>
      <c r="B6" s="5">
        <v>10.5</v>
      </c>
      <c r="C6" s="6">
        <f t="shared" si="1"/>
        <v>11.235</v>
      </c>
      <c r="D6" s="6">
        <f t="shared" si="2"/>
        <v>12.3585</v>
      </c>
      <c r="E6" s="7">
        <v>0.06</v>
      </c>
      <c r="F6" s="8">
        <f t="shared" si="3"/>
        <v>205.975</v>
      </c>
    </row>
    <row r="7">
      <c r="A7" s="4" t="s">
        <v>128</v>
      </c>
      <c r="B7" s="5">
        <v>14.0</v>
      </c>
      <c r="C7" s="6">
        <f t="shared" si="1"/>
        <v>14.98</v>
      </c>
      <c r="D7" s="6">
        <f t="shared" si="2"/>
        <v>16.478</v>
      </c>
      <c r="E7" s="7">
        <v>0.08</v>
      </c>
      <c r="F7" s="8">
        <f t="shared" si="3"/>
        <v>205.975</v>
      </c>
    </row>
    <row r="8">
      <c r="A8" s="4" t="s">
        <v>129</v>
      </c>
      <c r="B8" s="5" t="s">
        <v>102</v>
      </c>
      <c r="C8" s="6" t="str">
        <f t="shared" si="1"/>
        <v>#VALUE!</v>
      </c>
      <c r="D8" s="6" t="str">
        <f t="shared" si="2"/>
        <v>#VALUE!</v>
      </c>
      <c r="E8" s="7">
        <v>0.08</v>
      </c>
      <c r="F8" s="8" t="str">
        <f t="shared" si="3"/>
        <v>#VALUE!</v>
      </c>
    </row>
    <row r="9">
      <c r="A9" s="4" t="s">
        <v>130</v>
      </c>
      <c r="B9" s="5" t="s">
        <v>102</v>
      </c>
      <c r="C9" s="6" t="str">
        <f t="shared" si="1"/>
        <v>#VALUE!</v>
      </c>
      <c r="D9" s="6" t="str">
        <f t="shared" si="2"/>
        <v>#VALUE!</v>
      </c>
      <c r="E9" s="7">
        <v>0.08</v>
      </c>
      <c r="F9" s="8" t="str">
        <f t="shared" si="3"/>
        <v>#VALUE!</v>
      </c>
    </row>
    <row r="10">
      <c r="A10" s="4" t="s">
        <v>11</v>
      </c>
      <c r="B10" s="5" t="s">
        <v>102</v>
      </c>
      <c r="C10" s="6" t="str">
        <f t="shared" si="1"/>
        <v>#VALUE!</v>
      </c>
      <c r="D10" s="6" t="str">
        <f t="shared" si="2"/>
        <v>#VALUE!</v>
      </c>
      <c r="E10" s="7">
        <v>1.0</v>
      </c>
      <c r="F10" s="8" t="str">
        <f t="shared" si="3"/>
        <v>#VALUE!</v>
      </c>
    </row>
    <row r="11">
      <c r="A11" s="4" t="s">
        <v>12</v>
      </c>
      <c r="B11" s="5" t="s">
        <v>102</v>
      </c>
      <c r="C11" s="6" t="str">
        <f t="shared" si="1"/>
        <v>#VALUE!</v>
      </c>
      <c r="D11" s="6" t="str">
        <f t="shared" si="2"/>
        <v>#VALUE!</v>
      </c>
      <c r="E11" s="7">
        <v>1.0</v>
      </c>
      <c r="F11" s="8" t="str">
        <f t="shared" si="3"/>
        <v>#VALUE!</v>
      </c>
    </row>
    <row r="12">
      <c r="A12" s="4" t="s">
        <v>13</v>
      </c>
      <c r="B12" s="5">
        <v>14.0</v>
      </c>
      <c r="C12" s="6">
        <f t="shared" si="1"/>
        <v>14.98</v>
      </c>
      <c r="D12" s="6">
        <f t="shared" si="2"/>
        <v>16.478</v>
      </c>
      <c r="E12" s="7">
        <v>1.0</v>
      </c>
      <c r="F12" s="8">
        <f t="shared" si="3"/>
        <v>16.478</v>
      </c>
    </row>
    <row r="13">
      <c r="A13" s="4" t="s">
        <v>131</v>
      </c>
      <c r="B13" s="5">
        <v>12.0</v>
      </c>
      <c r="C13" s="6">
        <f t="shared" si="1"/>
        <v>12.84</v>
      </c>
      <c r="D13" s="6">
        <f t="shared" si="2"/>
        <v>14.124</v>
      </c>
      <c r="E13" s="7">
        <v>4.0</v>
      </c>
      <c r="F13" s="8">
        <f t="shared" si="3"/>
        <v>3.531</v>
      </c>
    </row>
    <row r="14">
      <c r="A14" s="4" t="s">
        <v>40</v>
      </c>
      <c r="B14" s="5">
        <v>16.0</v>
      </c>
      <c r="C14" s="6">
        <f t="shared" si="1"/>
        <v>17.12</v>
      </c>
      <c r="D14" s="6">
        <f t="shared" si="2"/>
        <v>18.832</v>
      </c>
      <c r="E14" s="7">
        <v>4.0</v>
      </c>
      <c r="F14" s="8">
        <f t="shared" si="3"/>
        <v>4.708</v>
      </c>
    </row>
    <row r="15">
      <c r="A15" s="4" t="s">
        <v>107</v>
      </c>
      <c r="B15" s="5">
        <v>20.5</v>
      </c>
      <c r="C15" s="6">
        <f t="shared" si="1"/>
        <v>21.935</v>
      </c>
      <c r="D15" s="6">
        <f t="shared" si="2"/>
        <v>24.1285</v>
      </c>
      <c r="E15" s="7">
        <v>4.0</v>
      </c>
      <c r="F15" s="8">
        <f t="shared" si="3"/>
        <v>6.032125</v>
      </c>
    </row>
    <row r="16">
      <c r="A16" s="4" t="s">
        <v>108</v>
      </c>
      <c r="B16" s="5">
        <v>28.5</v>
      </c>
      <c r="C16" s="6">
        <f t="shared" si="1"/>
        <v>30.495</v>
      </c>
      <c r="D16" s="6">
        <f t="shared" si="2"/>
        <v>33.5445</v>
      </c>
      <c r="E16" s="7">
        <v>4.0</v>
      </c>
      <c r="F16" s="8">
        <f t="shared" si="3"/>
        <v>8.386125</v>
      </c>
    </row>
    <row r="17">
      <c r="A17" s="4" t="s">
        <v>132</v>
      </c>
      <c r="B17" s="5">
        <v>37.0</v>
      </c>
      <c r="C17" s="6">
        <f t="shared" si="1"/>
        <v>39.59</v>
      </c>
      <c r="D17" s="6">
        <f t="shared" si="2"/>
        <v>43.549</v>
      </c>
      <c r="E17" s="7">
        <v>4.0</v>
      </c>
      <c r="F17" s="8">
        <f t="shared" si="3"/>
        <v>10.88725</v>
      </c>
    </row>
    <row r="18">
      <c r="A18" s="4" t="s">
        <v>41</v>
      </c>
      <c r="B18" s="5">
        <v>43.4</v>
      </c>
      <c r="C18" s="6">
        <f t="shared" si="1"/>
        <v>46.438</v>
      </c>
      <c r="D18" s="6">
        <f t="shared" si="2"/>
        <v>51.0818</v>
      </c>
      <c r="E18" s="7">
        <v>4.0</v>
      </c>
      <c r="F18" s="8">
        <f t="shared" si="3"/>
        <v>12.77045</v>
      </c>
    </row>
    <row r="19">
      <c r="A19" s="4" t="s">
        <v>14</v>
      </c>
      <c r="B19" s="5">
        <v>9.0</v>
      </c>
      <c r="C19" s="6">
        <f t="shared" si="1"/>
        <v>9.63</v>
      </c>
      <c r="D19" s="6">
        <f t="shared" si="2"/>
        <v>10.593</v>
      </c>
      <c r="E19" s="7">
        <v>1.0</v>
      </c>
      <c r="F19" s="8">
        <f t="shared" si="3"/>
        <v>10.593</v>
      </c>
    </row>
    <row r="20">
      <c r="A20" s="4" t="s">
        <v>15</v>
      </c>
      <c r="B20" s="5">
        <v>9.25</v>
      </c>
      <c r="C20" s="6">
        <f t="shared" si="1"/>
        <v>9.8975</v>
      </c>
      <c r="D20" s="6">
        <f t="shared" si="2"/>
        <v>10.88725</v>
      </c>
      <c r="E20" s="7">
        <v>1.0</v>
      </c>
      <c r="F20" s="8">
        <f t="shared" si="3"/>
        <v>10.88725</v>
      </c>
    </row>
    <row r="21">
      <c r="A21" s="4" t="s">
        <v>16</v>
      </c>
      <c r="B21" s="5" t="s">
        <v>102</v>
      </c>
      <c r="C21" s="6" t="str">
        <f t="shared" si="1"/>
        <v>#VALUE!</v>
      </c>
      <c r="D21" s="6" t="str">
        <f t="shared" si="2"/>
        <v>#VALUE!</v>
      </c>
      <c r="E21" s="7">
        <v>1.0</v>
      </c>
      <c r="F21" s="8" t="str">
        <f t="shared" si="3"/>
        <v>#VALUE!</v>
      </c>
    </row>
    <row r="22">
      <c r="A22" s="4" t="s">
        <v>19</v>
      </c>
      <c r="B22" s="5">
        <v>21.5</v>
      </c>
      <c r="C22" s="6">
        <f t="shared" si="1"/>
        <v>23.005</v>
      </c>
      <c r="D22" s="6">
        <f t="shared" si="2"/>
        <v>25.3055</v>
      </c>
      <c r="E22" s="7">
        <v>1.0</v>
      </c>
      <c r="F22" s="8">
        <f t="shared" si="3"/>
        <v>25.3055</v>
      </c>
    </row>
    <row r="23">
      <c r="A23" s="4" t="s">
        <v>103</v>
      </c>
      <c r="B23" s="5" t="s">
        <v>102</v>
      </c>
      <c r="C23" s="6" t="str">
        <f t="shared" si="1"/>
        <v>#VALUE!</v>
      </c>
      <c r="D23" s="6" t="str">
        <f t="shared" si="2"/>
        <v>#VALUE!</v>
      </c>
      <c r="E23" s="7">
        <v>1.0</v>
      </c>
      <c r="F23" s="8" t="str">
        <f t="shared" si="3"/>
        <v>#VALUE!</v>
      </c>
    </row>
    <row r="24">
      <c r="A24" s="4" t="s">
        <v>26</v>
      </c>
      <c r="B24" s="5">
        <v>76.5</v>
      </c>
      <c r="C24" s="6">
        <f t="shared" si="1"/>
        <v>81.855</v>
      </c>
      <c r="D24" s="6">
        <f t="shared" si="2"/>
        <v>90.0405</v>
      </c>
      <c r="E24" s="7">
        <v>10.0</v>
      </c>
      <c r="F24" s="8">
        <f t="shared" si="3"/>
        <v>9.00405</v>
      </c>
    </row>
    <row r="25">
      <c r="A25" s="4" t="s">
        <v>133</v>
      </c>
      <c r="B25" s="5" t="s">
        <v>102</v>
      </c>
      <c r="C25" s="6" t="str">
        <f t="shared" si="1"/>
        <v>#VALUE!</v>
      </c>
      <c r="D25" s="6" t="str">
        <f t="shared" si="2"/>
        <v>#VALUE!</v>
      </c>
      <c r="E25" s="7">
        <v>10.0</v>
      </c>
      <c r="F25" s="8" t="str">
        <f t="shared" si="3"/>
        <v>#VALUE!</v>
      </c>
    </row>
    <row r="26">
      <c r="A26" s="4" t="s">
        <v>27</v>
      </c>
      <c r="B26" s="5">
        <v>9.5</v>
      </c>
      <c r="C26" s="6">
        <f t="shared" si="1"/>
        <v>10.165</v>
      </c>
      <c r="D26" s="6">
        <f t="shared" si="2"/>
        <v>11.1815</v>
      </c>
      <c r="E26" s="7">
        <v>1.0</v>
      </c>
      <c r="F26" s="8">
        <f t="shared" si="3"/>
        <v>11.1815</v>
      </c>
    </row>
    <row r="27">
      <c r="A27" s="4" t="s">
        <v>174</v>
      </c>
      <c r="B27" s="5">
        <v>26.0</v>
      </c>
      <c r="C27" s="6">
        <f t="shared" si="1"/>
        <v>27.82</v>
      </c>
      <c r="D27" s="6">
        <f t="shared" si="2"/>
        <v>30.602</v>
      </c>
      <c r="E27" s="7">
        <v>1.0</v>
      </c>
      <c r="F27" s="8">
        <f t="shared" si="3"/>
        <v>30.602</v>
      </c>
    </row>
    <row r="28">
      <c r="A28" s="4" t="s">
        <v>28</v>
      </c>
      <c r="B28" s="5" t="s">
        <v>102</v>
      </c>
      <c r="C28" s="6" t="str">
        <f t="shared" si="1"/>
        <v>#VALUE!</v>
      </c>
      <c r="D28" s="6" t="str">
        <f t="shared" si="2"/>
        <v>#VALUE!</v>
      </c>
      <c r="E28" s="7">
        <v>1.0</v>
      </c>
      <c r="F28" s="8" t="str">
        <f t="shared" si="3"/>
        <v>#VALUE!</v>
      </c>
    </row>
    <row r="29">
      <c r="A29" s="4" t="s">
        <v>20</v>
      </c>
      <c r="B29" s="5">
        <v>48.5</v>
      </c>
      <c r="C29" s="6">
        <f t="shared" si="1"/>
        <v>51.895</v>
      </c>
      <c r="D29" s="6">
        <f t="shared" si="2"/>
        <v>57.0845</v>
      </c>
      <c r="E29" s="7">
        <v>2.0</v>
      </c>
      <c r="F29" s="8">
        <f t="shared" si="3"/>
        <v>28.54225</v>
      </c>
    </row>
    <row r="30">
      <c r="A30" s="4" t="s">
        <v>21</v>
      </c>
      <c r="B30" s="5">
        <v>34.75</v>
      </c>
      <c r="C30" s="6">
        <f t="shared" si="1"/>
        <v>37.1825</v>
      </c>
      <c r="D30" s="6">
        <f t="shared" si="2"/>
        <v>40.90075</v>
      </c>
      <c r="E30" s="7">
        <v>2.0</v>
      </c>
      <c r="F30" s="8">
        <f t="shared" si="3"/>
        <v>20.450375</v>
      </c>
    </row>
    <row r="31">
      <c r="A31" s="4" t="s">
        <v>22</v>
      </c>
      <c r="B31" s="5">
        <v>32.8</v>
      </c>
      <c r="C31" s="6">
        <f t="shared" si="1"/>
        <v>35.096</v>
      </c>
      <c r="D31" s="6">
        <f t="shared" si="2"/>
        <v>38.6056</v>
      </c>
      <c r="E31" s="7">
        <v>2.0</v>
      </c>
      <c r="F31" s="8">
        <f t="shared" si="3"/>
        <v>19.3028</v>
      </c>
    </row>
    <row r="32">
      <c r="A32" s="4" t="s">
        <v>175</v>
      </c>
      <c r="B32" s="5">
        <v>67.85</v>
      </c>
      <c r="C32" s="6">
        <f t="shared" si="1"/>
        <v>72.5995</v>
      </c>
      <c r="D32" s="6">
        <f t="shared" si="2"/>
        <v>79.85945</v>
      </c>
      <c r="E32" s="7">
        <v>2.0</v>
      </c>
      <c r="F32" s="8">
        <f t="shared" si="3"/>
        <v>39.929725</v>
      </c>
    </row>
    <row r="33">
      <c r="A33" s="4" t="s">
        <v>176</v>
      </c>
      <c r="B33" s="5">
        <v>59.0</v>
      </c>
      <c r="C33" s="6">
        <f t="shared" si="1"/>
        <v>63.13</v>
      </c>
      <c r="D33" s="6">
        <f t="shared" si="2"/>
        <v>69.443</v>
      </c>
      <c r="E33" s="7">
        <v>2.0</v>
      </c>
      <c r="F33" s="8">
        <f t="shared" si="3"/>
        <v>34.7215</v>
      </c>
    </row>
    <row r="34">
      <c r="A34" s="4" t="s">
        <v>177</v>
      </c>
      <c r="B34" s="5">
        <v>72.0</v>
      </c>
      <c r="C34" s="6">
        <f t="shared" si="1"/>
        <v>77.04</v>
      </c>
      <c r="D34" s="6">
        <f t="shared" si="2"/>
        <v>84.744</v>
      </c>
      <c r="E34" s="7">
        <v>1.85</v>
      </c>
      <c r="F34" s="8">
        <f t="shared" si="3"/>
        <v>45.80756757</v>
      </c>
    </row>
    <row r="35">
      <c r="A35" s="4" t="s">
        <v>178</v>
      </c>
      <c r="B35" s="5">
        <v>152.0</v>
      </c>
      <c r="C35" s="6">
        <f t="shared" si="1"/>
        <v>162.64</v>
      </c>
      <c r="D35" s="6">
        <f t="shared" si="2"/>
        <v>178.904</v>
      </c>
      <c r="E35" s="7">
        <v>2.25</v>
      </c>
      <c r="F35" s="8">
        <f t="shared" si="3"/>
        <v>79.51288889</v>
      </c>
    </row>
    <row r="36">
      <c r="A36" s="4" t="s">
        <v>179</v>
      </c>
      <c r="B36" s="5">
        <v>76.5</v>
      </c>
      <c r="C36" s="6">
        <f t="shared" si="1"/>
        <v>81.855</v>
      </c>
      <c r="D36" s="6">
        <f t="shared" si="2"/>
        <v>90.0405</v>
      </c>
      <c r="E36" s="7">
        <v>1.85</v>
      </c>
      <c r="F36" s="8">
        <f t="shared" si="3"/>
        <v>48.67054054</v>
      </c>
    </row>
    <row r="37">
      <c r="A37" s="4" t="s">
        <v>180</v>
      </c>
      <c r="B37" s="27"/>
      <c r="C37" s="6">
        <f t="shared" si="1"/>
        <v>0</v>
      </c>
      <c r="D37" s="6">
        <f t="shared" si="2"/>
        <v>0</v>
      </c>
      <c r="E37" s="7">
        <v>1.85</v>
      </c>
      <c r="F37" s="8">
        <f t="shared" si="3"/>
        <v>0</v>
      </c>
    </row>
    <row r="38">
      <c r="A38" s="4" t="s">
        <v>172</v>
      </c>
      <c r="B38" s="5">
        <v>74.58</v>
      </c>
      <c r="C38" s="6">
        <f t="shared" si="1"/>
        <v>79.8006</v>
      </c>
      <c r="D38" s="6">
        <f t="shared" si="2"/>
        <v>87.78066</v>
      </c>
      <c r="E38" s="7">
        <v>2.0</v>
      </c>
      <c r="F38" s="8">
        <f t="shared" si="3"/>
        <v>43.89033</v>
      </c>
    </row>
    <row r="39">
      <c r="A39" s="4" t="s">
        <v>122</v>
      </c>
      <c r="B39" s="5">
        <v>105.2</v>
      </c>
      <c r="C39" s="6">
        <f t="shared" si="1"/>
        <v>112.564</v>
      </c>
      <c r="D39" s="6">
        <f t="shared" si="2"/>
        <v>123.8204</v>
      </c>
      <c r="E39" s="7">
        <v>2.0</v>
      </c>
      <c r="F39" s="8">
        <f t="shared" si="3"/>
        <v>61.9102</v>
      </c>
    </row>
    <row r="40">
      <c r="A40" s="4" t="s">
        <v>123</v>
      </c>
      <c r="B40" s="5">
        <v>96.5</v>
      </c>
      <c r="C40" s="6">
        <f t="shared" si="1"/>
        <v>103.255</v>
      </c>
      <c r="D40" s="6">
        <f t="shared" si="2"/>
        <v>113.5805</v>
      </c>
      <c r="E40" s="7">
        <v>2.0</v>
      </c>
      <c r="F40" s="8">
        <f t="shared" si="3"/>
        <v>56.79025</v>
      </c>
    </row>
    <row r="41">
      <c r="A41" s="28" t="s">
        <v>181</v>
      </c>
      <c r="B41" s="27"/>
      <c r="C41" s="6">
        <f t="shared" si="1"/>
        <v>0</v>
      </c>
      <c r="D41" s="6">
        <f t="shared" si="2"/>
        <v>0</v>
      </c>
      <c r="E41" s="7">
        <v>2.0</v>
      </c>
      <c r="F41" s="8">
        <f t="shared" si="3"/>
        <v>0</v>
      </c>
    </row>
    <row r="42">
      <c r="A42" s="4" t="s">
        <v>134</v>
      </c>
      <c r="B42" s="5">
        <v>69.0</v>
      </c>
      <c r="C42" s="6">
        <f t="shared" si="1"/>
        <v>73.83</v>
      </c>
      <c r="D42" s="6">
        <f t="shared" si="2"/>
        <v>81.213</v>
      </c>
      <c r="E42" s="7">
        <v>1.9</v>
      </c>
      <c r="F42" s="8">
        <f t="shared" si="3"/>
        <v>42.74368421</v>
      </c>
    </row>
    <row r="43">
      <c r="A43" s="4" t="s">
        <v>182</v>
      </c>
      <c r="B43" s="5">
        <v>88.5</v>
      </c>
      <c r="C43" s="6">
        <f t="shared" si="1"/>
        <v>94.695</v>
      </c>
      <c r="D43" s="6">
        <f t="shared" si="2"/>
        <v>104.1645</v>
      </c>
      <c r="E43" s="7">
        <v>2.0</v>
      </c>
      <c r="F43" s="8">
        <f t="shared" si="3"/>
        <v>52.08225</v>
      </c>
    </row>
    <row r="44">
      <c r="A44" s="4" t="s">
        <v>124</v>
      </c>
      <c r="B44" s="5">
        <v>105.2</v>
      </c>
      <c r="C44" s="6">
        <f t="shared" si="1"/>
        <v>112.564</v>
      </c>
      <c r="D44" s="6">
        <f t="shared" si="2"/>
        <v>123.8204</v>
      </c>
      <c r="E44" s="7">
        <v>2.0</v>
      </c>
      <c r="F44" s="8">
        <f t="shared" si="3"/>
        <v>61.9102</v>
      </c>
    </row>
    <row r="45">
      <c r="A45" s="4" t="s">
        <v>125</v>
      </c>
      <c r="B45" s="5">
        <v>123.8</v>
      </c>
      <c r="C45" s="6">
        <f t="shared" si="1"/>
        <v>132.466</v>
      </c>
      <c r="D45" s="6">
        <f t="shared" si="2"/>
        <v>145.7126</v>
      </c>
      <c r="E45" s="7">
        <v>1.5</v>
      </c>
      <c r="F45" s="8">
        <f t="shared" si="3"/>
        <v>97.14173333</v>
      </c>
    </row>
    <row r="46">
      <c r="A46" s="4" t="s">
        <v>39</v>
      </c>
      <c r="B46" s="5">
        <v>164.0</v>
      </c>
      <c r="C46" s="6">
        <f t="shared" si="1"/>
        <v>175.48</v>
      </c>
      <c r="D46" s="6">
        <f t="shared" si="2"/>
        <v>193.028</v>
      </c>
      <c r="E46" s="7">
        <v>3.5</v>
      </c>
      <c r="F46" s="8">
        <f t="shared" si="3"/>
        <v>55.15085714</v>
      </c>
    </row>
    <row r="47">
      <c r="A47" s="4" t="s">
        <v>42</v>
      </c>
      <c r="B47" s="5">
        <v>51.99</v>
      </c>
      <c r="C47" s="6">
        <f t="shared" si="1"/>
        <v>55.6293</v>
      </c>
      <c r="D47" s="6">
        <f t="shared" si="2"/>
        <v>61.19223</v>
      </c>
      <c r="E47" s="7">
        <v>5.0</v>
      </c>
      <c r="F47" s="8">
        <f t="shared" si="3"/>
        <v>12.238446</v>
      </c>
    </row>
    <row r="48">
      <c r="A48" s="4" t="s">
        <v>29</v>
      </c>
      <c r="B48" s="5">
        <v>38.0</v>
      </c>
      <c r="C48" s="6">
        <f t="shared" si="1"/>
        <v>40.66</v>
      </c>
      <c r="D48" s="6">
        <f t="shared" si="2"/>
        <v>44.726</v>
      </c>
      <c r="E48" s="7">
        <v>7.0</v>
      </c>
      <c r="F48" s="8">
        <f t="shared" si="3"/>
        <v>6.389428571</v>
      </c>
    </row>
    <row r="49">
      <c r="A49" s="4" t="s">
        <v>105</v>
      </c>
      <c r="B49" s="5">
        <v>41.99</v>
      </c>
      <c r="C49" s="6">
        <f t="shared" si="1"/>
        <v>44.9293</v>
      </c>
      <c r="D49" s="6">
        <f t="shared" si="2"/>
        <v>49.42223</v>
      </c>
      <c r="E49" s="7">
        <v>5.0</v>
      </c>
      <c r="F49" s="8">
        <f t="shared" si="3"/>
        <v>9.884446</v>
      </c>
    </row>
    <row r="50">
      <c r="A50" s="4" t="s">
        <v>31</v>
      </c>
      <c r="B50" s="5">
        <v>151.99</v>
      </c>
      <c r="C50" s="6">
        <f t="shared" si="1"/>
        <v>162.6293</v>
      </c>
      <c r="D50" s="6">
        <f t="shared" si="2"/>
        <v>178.89223</v>
      </c>
      <c r="E50" s="7">
        <v>2.5</v>
      </c>
      <c r="F50" s="8">
        <f t="shared" si="3"/>
        <v>71.556892</v>
      </c>
    </row>
    <row r="51">
      <c r="A51" s="4" t="s">
        <v>33</v>
      </c>
      <c r="B51" s="5">
        <v>17.5</v>
      </c>
      <c r="C51" s="6">
        <f t="shared" si="1"/>
        <v>18.725</v>
      </c>
      <c r="D51" s="6">
        <f t="shared" si="2"/>
        <v>20.5975</v>
      </c>
      <c r="E51" s="7">
        <v>1.25</v>
      </c>
      <c r="F51" s="8">
        <f t="shared" si="3"/>
        <v>16.478</v>
      </c>
    </row>
    <row r="52">
      <c r="A52" s="4" t="s">
        <v>34</v>
      </c>
      <c r="B52" s="5">
        <v>19.25</v>
      </c>
      <c r="C52" s="6">
        <f t="shared" si="1"/>
        <v>20.5975</v>
      </c>
      <c r="D52" s="6">
        <f t="shared" si="2"/>
        <v>22.65725</v>
      </c>
      <c r="E52" s="7">
        <v>1.25</v>
      </c>
      <c r="F52" s="8">
        <f t="shared" si="3"/>
        <v>18.1258</v>
      </c>
    </row>
    <row r="53">
      <c r="A53" s="4" t="s">
        <v>35</v>
      </c>
      <c r="B53" s="5">
        <v>19.95</v>
      </c>
      <c r="C53" s="6">
        <f t="shared" si="1"/>
        <v>21.3465</v>
      </c>
      <c r="D53" s="6">
        <f t="shared" si="2"/>
        <v>23.48115</v>
      </c>
      <c r="E53" s="7">
        <v>1.25</v>
      </c>
      <c r="F53" s="8">
        <f t="shared" si="3"/>
        <v>18.78492</v>
      </c>
    </row>
    <row r="54">
      <c r="A54" s="4" t="s">
        <v>36</v>
      </c>
      <c r="B54" s="5">
        <v>32.53</v>
      </c>
      <c r="C54" s="6">
        <f t="shared" si="1"/>
        <v>34.8071</v>
      </c>
      <c r="D54" s="6">
        <f t="shared" si="2"/>
        <v>38.28781</v>
      </c>
      <c r="E54" s="7">
        <v>0.333</v>
      </c>
      <c r="F54" s="8">
        <f t="shared" si="3"/>
        <v>114.9784084</v>
      </c>
    </row>
    <row r="55">
      <c r="A55" s="4" t="s">
        <v>135</v>
      </c>
      <c r="B55" s="5">
        <v>50.0</v>
      </c>
      <c r="C55" s="6">
        <f t="shared" si="1"/>
        <v>53.5</v>
      </c>
      <c r="D55" s="6">
        <f t="shared" si="2"/>
        <v>58.85</v>
      </c>
      <c r="E55" s="7">
        <v>20.0</v>
      </c>
      <c r="F55" s="8">
        <f t="shared" si="3"/>
        <v>2.9425</v>
      </c>
    </row>
    <row r="56">
      <c r="A56" s="4" t="s">
        <v>136</v>
      </c>
      <c r="B56" s="5">
        <v>61.0</v>
      </c>
      <c r="C56" s="6">
        <f t="shared" si="1"/>
        <v>65.27</v>
      </c>
      <c r="D56" s="6">
        <f t="shared" si="2"/>
        <v>71.797</v>
      </c>
      <c r="E56" s="7">
        <v>3.0</v>
      </c>
      <c r="F56" s="8">
        <f t="shared" si="3"/>
        <v>23.93233333</v>
      </c>
    </row>
    <row r="57">
      <c r="A57" s="4" t="s">
        <v>106</v>
      </c>
      <c r="B57" s="5">
        <v>38.59</v>
      </c>
      <c r="C57" s="6">
        <f t="shared" si="1"/>
        <v>41.2913</v>
      </c>
      <c r="D57" s="6">
        <f t="shared" si="2"/>
        <v>45.42043</v>
      </c>
      <c r="E57" s="7">
        <v>0.333</v>
      </c>
      <c r="F57" s="8">
        <f t="shared" si="3"/>
        <v>136.3976877</v>
      </c>
    </row>
    <row r="58">
      <c r="A58" s="4" t="s">
        <v>38</v>
      </c>
      <c r="B58" s="5">
        <v>43.7</v>
      </c>
      <c r="C58" s="6">
        <f t="shared" si="1"/>
        <v>46.759</v>
      </c>
      <c r="D58" s="6">
        <f t="shared" si="2"/>
        <v>51.4349</v>
      </c>
      <c r="E58" s="7">
        <v>0.333</v>
      </c>
      <c r="F58" s="8">
        <f t="shared" si="3"/>
        <v>154.4591592</v>
      </c>
    </row>
    <row r="59">
      <c r="A59" s="4" t="s">
        <v>137</v>
      </c>
      <c r="B59" s="5">
        <v>110.26</v>
      </c>
      <c r="C59" s="6">
        <f t="shared" si="1"/>
        <v>117.9782</v>
      </c>
      <c r="D59" s="6">
        <f t="shared" si="2"/>
        <v>129.77602</v>
      </c>
      <c r="E59" s="7">
        <v>2.0</v>
      </c>
      <c r="F59" s="8">
        <f t="shared" si="3"/>
        <v>64.88801</v>
      </c>
    </row>
    <row r="60">
      <c r="A60" s="4" t="s">
        <v>183</v>
      </c>
      <c r="B60" s="5">
        <v>118.12</v>
      </c>
      <c r="C60" s="6">
        <f t="shared" si="1"/>
        <v>126.3884</v>
      </c>
      <c r="D60" s="6">
        <f t="shared" si="2"/>
        <v>139.02724</v>
      </c>
      <c r="E60" s="7">
        <v>1.5</v>
      </c>
      <c r="F60" s="8">
        <f t="shared" si="3"/>
        <v>92.68482667</v>
      </c>
    </row>
    <row r="61">
      <c r="A61" s="4" t="s">
        <v>138</v>
      </c>
      <c r="B61" s="5">
        <v>105.99</v>
      </c>
      <c r="C61" s="6">
        <f t="shared" si="1"/>
        <v>113.4093</v>
      </c>
      <c r="D61" s="6">
        <f t="shared" si="2"/>
        <v>124.75023</v>
      </c>
      <c r="E61" s="7">
        <v>2.0</v>
      </c>
      <c r="F61" s="8">
        <f t="shared" si="3"/>
        <v>62.375115</v>
      </c>
    </row>
    <row r="62">
      <c r="A62" s="4" t="s">
        <v>139</v>
      </c>
      <c r="B62" s="5">
        <v>101.99</v>
      </c>
      <c r="C62" s="6">
        <f t="shared" si="1"/>
        <v>109.1293</v>
      </c>
      <c r="D62" s="6">
        <f t="shared" si="2"/>
        <v>120.04223</v>
      </c>
      <c r="E62" s="7">
        <v>1.0</v>
      </c>
      <c r="F62" s="8">
        <f t="shared" si="3"/>
        <v>120.04223</v>
      </c>
    </row>
    <row r="63">
      <c r="A63" s="4" t="s">
        <v>44</v>
      </c>
      <c r="B63" s="5">
        <v>119.99</v>
      </c>
      <c r="C63" s="6">
        <f t="shared" si="1"/>
        <v>128.3893</v>
      </c>
      <c r="D63" s="6">
        <f t="shared" si="2"/>
        <v>141.22823</v>
      </c>
      <c r="E63" s="7">
        <v>2.0</v>
      </c>
      <c r="F63" s="8">
        <f t="shared" si="3"/>
        <v>70.614115</v>
      </c>
    </row>
    <row r="64">
      <c r="A64" s="4" t="s">
        <v>45</v>
      </c>
      <c r="B64" s="5">
        <v>115.99</v>
      </c>
      <c r="C64" s="6">
        <f t="shared" si="1"/>
        <v>124.1093</v>
      </c>
      <c r="D64" s="6">
        <f t="shared" si="2"/>
        <v>136.52023</v>
      </c>
      <c r="E64" s="7">
        <v>1.0</v>
      </c>
      <c r="F64" s="8">
        <f t="shared" si="3"/>
        <v>136.52023</v>
      </c>
    </row>
    <row r="65">
      <c r="A65" s="4" t="s">
        <v>46</v>
      </c>
      <c r="B65" s="5">
        <v>125.0</v>
      </c>
      <c r="C65" s="6">
        <f t="shared" si="1"/>
        <v>133.75</v>
      </c>
      <c r="D65" s="6">
        <f t="shared" si="2"/>
        <v>147.125</v>
      </c>
      <c r="E65" s="7">
        <v>1.5</v>
      </c>
      <c r="F65" s="8">
        <f t="shared" si="3"/>
        <v>98.08333333</v>
      </c>
    </row>
    <row r="66">
      <c r="A66" s="4" t="s">
        <v>48</v>
      </c>
      <c r="B66" s="5">
        <v>152.99</v>
      </c>
      <c r="C66" s="6">
        <f t="shared" si="1"/>
        <v>163.6993</v>
      </c>
      <c r="D66" s="6">
        <f t="shared" si="2"/>
        <v>180.06923</v>
      </c>
      <c r="E66" s="7">
        <v>1.0</v>
      </c>
      <c r="F66" s="8">
        <f t="shared" si="3"/>
        <v>180.06923</v>
      </c>
    </row>
    <row r="67">
      <c r="A67" s="4" t="s">
        <v>49</v>
      </c>
      <c r="B67" s="5">
        <v>152.99</v>
      </c>
      <c r="C67" s="6">
        <f t="shared" si="1"/>
        <v>163.6993</v>
      </c>
      <c r="D67" s="6">
        <f t="shared" si="2"/>
        <v>180.06923</v>
      </c>
      <c r="E67" s="7">
        <v>1.0</v>
      </c>
      <c r="F67" s="8">
        <f t="shared" si="3"/>
        <v>180.06923</v>
      </c>
    </row>
    <row r="68">
      <c r="A68" s="4" t="s">
        <v>184</v>
      </c>
      <c r="B68" s="5">
        <v>106.0</v>
      </c>
      <c r="C68" s="6">
        <f t="shared" si="1"/>
        <v>113.42</v>
      </c>
      <c r="D68" s="6">
        <f t="shared" si="2"/>
        <v>124.762</v>
      </c>
      <c r="E68" s="7">
        <v>2.0</v>
      </c>
      <c r="F68" s="8">
        <f t="shared" si="3"/>
        <v>62.381</v>
      </c>
    </row>
    <row r="69">
      <c r="A69" s="4" t="s">
        <v>185</v>
      </c>
      <c r="B69" s="5"/>
      <c r="C69" s="6"/>
      <c r="D69" s="6"/>
      <c r="E69" s="7"/>
      <c r="F69" s="8"/>
    </row>
    <row r="70">
      <c r="A70" s="4" t="s">
        <v>186</v>
      </c>
      <c r="B70" s="5">
        <v>98.0</v>
      </c>
      <c r="C70" s="6">
        <f t="shared" ref="C70:C132" si="4">B70*1.07</f>
        <v>104.86</v>
      </c>
      <c r="D70" s="6">
        <f t="shared" ref="D70:D132" si="5">C70*1.1</f>
        <v>115.346</v>
      </c>
      <c r="E70" s="7">
        <v>1.0</v>
      </c>
      <c r="F70" s="8">
        <f t="shared" ref="F70:F132" si="6">D70/E70</f>
        <v>115.346</v>
      </c>
    </row>
    <row r="71">
      <c r="A71" s="4" t="s">
        <v>50</v>
      </c>
      <c r="B71" s="5">
        <v>16.0</v>
      </c>
      <c r="C71" s="6">
        <f t="shared" si="4"/>
        <v>17.12</v>
      </c>
      <c r="D71" s="6">
        <f t="shared" si="5"/>
        <v>18.832</v>
      </c>
      <c r="E71" s="7">
        <v>0.16</v>
      </c>
      <c r="F71" s="8">
        <f t="shared" si="6"/>
        <v>117.7</v>
      </c>
    </row>
    <row r="72">
      <c r="A72" s="4" t="s">
        <v>51</v>
      </c>
      <c r="B72" s="5">
        <v>20.5</v>
      </c>
      <c r="C72" s="6">
        <f t="shared" si="4"/>
        <v>21.935</v>
      </c>
      <c r="D72" s="6">
        <f t="shared" si="5"/>
        <v>24.1285</v>
      </c>
      <c r="E72" s="7">
        <v>0.16</v>
      </c>
      <c r="F72" s="8">
        <f t="shared" si="6"/>
        <v>150.803125</v>
      </c>
    </row>
    <row r="73">
      <c r="A73" s="4" t="s">
        <v>140</v>
      </c>
      <c r="B73" s="5">
        <v>11.43</v>
      </c>
      <c r="C73" s="6">
        <f t="shared" si="4"/>
        <v>12.2301</v>
      </c>
      <c r="D73" s="6">
        <f t="shared" si="5"/>
        <v>13.45311</v>
      </c>
      <c r="E73" s="7">
        <v>0.16</v>
      </c>
      <c r="F73" s="8">
        <f t="shared" si="6"/>
        <v>84.0819375</v>
      </c>
    </row>
    <row r="74">
      <c r="A74" s="4" t="s">
        <v>141</v>
      </c>
      <c r="B74" s="5">
        <v>13.2</v>
      </c>
      <c r="C74" s="6">
        <f t="shared" si="4"/>
        <v>14.124</v>
      </c>
      <c r="D74" s="6">
        <f t="shared" si="5"/>
        <v>15.5364</v>
      </c>
      <c r="E74" s="7">
        <v>0.16</v>
      </c>
      <c r="F74" s="8">
        <f t="shared" si="6"/>
        <v>97.1025</v>
      </c>
    </row>
    <row r="75">
      <c r="A75" s="4" t="s">
        <v>142</v>
      </c>
      <c r="B75" s="5">
        <v>17.6</v>
      </c>
      <c r="C75" s="6">
        <f t="shared" si="4"/>
        <v>18.832</v>
      </c>
      <c r="D75" s="6">
        <f t="shared" si="5"/>
        <v>20.7152</v>
      </c>
      <c r="E75" s="7">
        <v>0.16</v>
      </c>
      <c r="F75" s="8">
        <f t="shared" si="6"/>
        <v>129.47</v>
      </c>
    </row>
    <row r="76">
      <c r="A76" s="4" t="s">
        <v>143</v>
      </c>
      <c r="B76" s="5">
        <v>23.83</v>
      </c>
      <c r="C76" s="6">
        <f t="shared" si="4"/>
        <v>25.4981</v>
      </c>
      <c r="D76" s="6">
        <f t="shared" si="5"/>
        <v>28.04791</v>
      </c>
      <c r="E76" s="7">
        <v>0.16</v>
      </c>
      <c r="F76" s="8">
        <f t="shared" si="6"/>
        <v>175.2994375</v>
      </c>
    </row>
    <row r="77">
      <c r="A77" s="4" t="s">
        <v>144</v>
      </c>
      <c r="B77" s="5">
        <v>29.53</v>
      </c>
      <c r="C77" s="6">
        <f t="shared" si="4"/>
        <v>31.5971</v>
      </c>
      <c r="D77" s="6">
        <f t="shared" si="5"/>
        <v>34.75681</v>
      </c>
      <c r="E77" s="7">
        <v>0.16</v>
      </c>
      <c r="F77" s="8">
        <f t="shared" si="6"/>
        <v>217.2300625</v>
      </c>
    </row>
    <row r="78">
      <c r="A78" s="4" t="s">
        <v>187</v>
      </c>
      <c r="B78" s="5">
        <v>33.0</v>
      </c>
      <c r="C78" s="6">
        <f t="shared" si="4"/>
        <v>35.31</v>
      </c>
      <c r="D78" s="6">
        <f t="shared" si="5"/>
        <v>38.841</v>
      </c>
      <c r="E78" s="7">
        <v>0.16</v>
      </c>
      <c r="F78" s="8">
        <f t="shared" si="6"/>
        <v>242.75625</v>
      </c>
    </row>
    <row r="79">
      <c r="A79" s="4" t="s">
        <v>57</v>
      </c>
      <c r="B79" s="5">
        <v>1400.0</v>
      </c>
      <c r="C79" s="6">
        <f t="shared" si="4"/>
        <v>1498</v>
      </c>
      <c r="D79" s="6">
        <f t="shared" si="5"/>
        <v>1647.8</v>
      </c>
      <c r="E79" s="7">
        <v>25.0</v>
      </c>
      <c r="F79" s="8">
        <f t="shared" si="6"/>
        <v>65.912</v>
      </c>
    </row>
    <row r="80">
      <c r="A80" s="4" t="s">
        <v>188</v>
      </c>
      <c r="B80" s="5">
        <v>1902.0</v>
      </c>
      <c r="C80" s="6">
        <f t="shared" si="4"/>
        <v>2035.14</v>
      </c>
      <c r="D80" s="6">
        <f t="shared" si="5"/>
        <v>2238.654</v>
      </c>
      <c r="E80" s="7">
        <v>25.0</v>
      </c>
      <c r="F80" s="8">
        <f t="shared" si="6"/>
        <v>89.54616</v>
      </c>
    </row>
    <row r="81">
      <c r="A81" s="4" t="s">
        <v>145</v>
      </c>
      <c r="B81" s="5">
        <v>145.9</v>
      </c>
      <c r="C81" s="6">
        <f t="shared" si="4"/>
        <v>156.113</v>
      </c>
      <c r="D81" s="6">
        <f t="shared" si="5"/>
        <v>171.7243</v>
      </c>
      <c r="E81" s="9">
        <v>15.0</v>
      </c>
      <c r="F81" s="8">
        <f t="shared" si="6"/>
        <v>11.44828667</v>
      </c>
    </row>
    <row r="82">
      <c r="A82" s="4" t="s">
        <v>146</v>
      </c>
      <c r="B82" s="5">
        <v>179.9</v>
      </c>
      <c r="C82" s="6">
        <f t="shared" si="4"/>
        <v>192.493</v>
      </c>
      <c r="D82" s="6">
        <f t="shared" si="5"/>
        <v>211.7423</v>
      </c>
      <c r="E82" s="9">
        <v>15.0</v>
      </c>
      <c r="F82" s="8">
        <f t="shared" si="6"/>
        <v>14.11615333</v>
      </c>
    </row>
    <row r="83">
      <c r="A83" s="4" t="s">
        <v>60</v>
      </c>
      <c r="B83" s="5" t="s">
        <v>102</v>
      </c>
      <c r="C83" s="6" t="str">
        <f t="shared" si="4"/>
        <v>#VALUE!</v>
      </c>
      <c r="D83" s="6" t="str">
        <f t="shared" si="5"/>
        <v>#VALUE!</v>
      </c>
      <c r="E83" s="9">
        <v>15.0</v>
      </c>
      <c r="F83" s="8" t="str">
        <f t="shared" si="6"/>
        <v>#VALUE!</v>
      </c>
    </row>
    <row r="84">
      <c r="A84" s="4" t="s">
        <v>61</v>
      </c>
      <c r="B84" s="5" t="s">
        <v>102</v>
      </c>
      <c r="C84" s="6" t="str">
        <f t="shared" si="4"/>
        <v>#VALUE!</v>
      </c>
      <c r="D84" s="6" t="str">
        <f t="shared" si="5"/>
        <v>#VALUE!</v>
      </c>
      <c r="E84" s="9">
        <v>15.0</v>
      </c>
      <c r="F84" s="8" t="str">
        <f t="shared" si="6"/>
        <v>#VALUE!</v>
      </c>
    </row>
    <row r="85">
      <c r="A85" s="4" t="s">
        <v>62</v>
      </c>
      <c r="B85" s="5" t="s">
        <v>102</v>
      </c>
      <c r="C85" s="6" t="str">
        <f t="shared" si="4"/>
        <v>#VALUE!</v>
      </c>
      <c r="D85" s="6" t="str">
        <f t="shared" si="5"/>
        <v>#VALUE!</v>
      </c>
      <c r="E85" s="9">
        <v>15.0</v>
      </c>
      <c r="F85" s="8" t="str">
        <f t="shared" si="6"/>
        <v>#VALUE!</v>
      </c>
    </row>
    <row r="86">
      <c r="A86" s="4" t="s">
        <v>63</v>
      </c>
      <c r="B86" s="5" t="s">
        <v>102</v>
      </c>
      <c r="C86" s="6" t="str">
        <f t="shared" si="4"/>
        <v>#VALUE!</v>
      </c>
      <c r="D86" s="6" t="str">
        <f t="shared" si="5"/>
        <v>#VALUE!</v>
      </c>
      <c r="E86" s="9">
        <v>15.0</v>
      </c>
      <c r="F86" s="8" t="str">
        <f t="shared" si="6"/>
        <v>#VALUE!</v>
      </c>
    </row>
    <row r="87">
      <c r="A87" s="4" t="s">
        <v>64</v>
      </c>
      <c r="B87" s="5" t="s">
        <v>102</v>
      </c>
      <c r="C87" s="6" t="str">
        <f t="shared" si="4"/>
        <v>#VALUE!</v>
      </c>
      <c r="D87" s="6" t="str">
        <f t="shared" si="5"/>
        <v>#VALUE!</v>
      </c>
      <c r="E87" s="9">
        <v>15.0</v>
      </c>
      <c r="F87" s="8" t="str">
        <f t="shared" si="6"/>
        <v>#VALUE!</v>
      </c>
    </row>
    <row r="88">
      <c r="A88" s="4" t="s">
        <v>65</v>
      </c>
      <c r="B88" s="5" t="s">
        <v>102</v>
      </c>
      <c r="C88" s="6" t="str">
        <f t="shared" si="4"/>
        <v>#VALUE!</v>
      </c>
      <c r="D88" s="6" t="str">
        <f t="shared" si="5"/>
        <v>#VALUE!</v>
      </c>
      <c r="E88" s="9">
        <v>15.0</v>
      </c>
      <c r="F88" s="8" t="str">
        <f t="shared" si="6"/>
        <v>#VALUE!</v>
      </c>
    </row>
    <row r="89">
      <c r="A89" s="4" t="s">
        <v>147</v>
      </c>
      <c r="B89" s="5">
        <v>278.21</v>
      </c>
      <c r="C89" s="6">
        <f t="shared" si="4"/>
        <v>297.6847</v>
      </c>
      <c r="D89" s="6">
        <f t="shared" si="5"/>
        <v>327.45317</v>
      </c>
      <c r="E89" s="9">
        <v>20.0</v>
      </c>
      <c r="F89" s="8">
        <f t="shared" si="6"/>
        <v>16.3726585</v>
      </c>
    </row>
    <row r="90">
      <c r="A90" s="4" t="s">
        <v>148</v>
      </c>
      <c r="B90" s="5">
        <v>431.86</v>
      </c>
      <c r="C90" s="6">
        <f t="shared" si="4"/>
        <v>462.0902</v>
      </c>
      <c r="D90" s="6">
        <f t="shared" si="5"/>
        <v>508.29922</v>
      </c>
      <c r="E90" s="9">
        <v>30.0</v>
      </c>
      <c r="F90" s="8">
        <f t="shared" si="6"/>
        <v>16.94330733</v>
      </c>
    </row>
    <row r="91">
      <c r="A91" s="4" t="s">
        <v>149</v>
      </c>
      <c r="B91" s="5">
        <v>860.0</v>
      </c>
      <c r="C91" s="6">
        <f t="shared" si="4"/>
        <v>920.2</v>
      </c>
      <c r="D91" s="6">
        <f t="shared" si="5"/>
        <v>1012.22</v>
      </c>
      <c r="E91" s="7">
        <v>10.0</v>
      </c>
      <c r="F91" s="8">
        <f t="shared" si="6"/>
        <v>101.222</v>
      </c>
    </row>
    <row r="92">
      <c r="A92" s="4" t="s">
        <v>150</v>
      </c>
      <c r="B92" s="5">
        <v>430.0</v>
      </c>
      <c r="C92" s="6">
        <f t="shared" si="4"/>
        <v>460.1</v>
      </c>
      <c r="D92" s="6">
        <f t="shared" si="5"/>
        <v>506.11</v>
      </c>
      <c r="E92" s="7">
        <v>5.0</v>
      </c>
      <c r="F92" s="8">
        <f t="shared" si="6"/>
        <v>101.222</v>
      </c>
    </row>
    <row r="93">
      <c r="A93" s="4" t="s">
        <v>151</v>
      </c>
      <c r="B93" s="5">
        <v>845.99</v>
      </c>
      <c r="C93" s="6">
        <f t="shared" si="4"/>
        <v>905.2093</v>
      </c>
      <c r="D93" s="6">
        <f t="shared" si="5"/>
        <v>995.73023</v>
      </c>
      <c r="E93" s="7">
        <v>10.0</v>
      </c>
      <c r="F93" s="8">
        <f t="shared" si="6"/>
        <v>99.573023</v>
      </c>
    </row>
    <row r="94">
      <c r="A94" s="4" t="s">
        <v>152</v>
      </c>
      <c r="B94" s="5">
        <v>355.99</v>
      </c>
      <c r="C94" s="6">
        <f t="shared" si="4"/>
        <v>380.9093</v>
      </c>
      <c r="D94" s="6">
        <f t="shared" si="5"/>
        <v>419.00023</v>
      </c>
      <c r="E94" s="7">
        <v>20.0</v>
      </c>
      <c r="F94" s="8">
        <f t="shared" si="6"/>
        <v>20.9500115</v>
      </c>
    </row>
    <row r="95">
      <c r="A95" s="4" t="s">
        <v>153</v>
      </c>
      <c r="B95" s="5">
        <v>175.0</v>
      </c>
      <c r="C95" s="6">
        <f t="shared" si="4"/>
        <v>187.25</v>
      </c>
      <c r="D95" s="6">
        <f t="shared" si="5"/>
        <v>205.975</v>
      </c>
      <c r="E95" s="9">
        <v>3.0</v>
      </c>
      <c r="F95" s="8">
        <f t="shared" si="6"/>
        <v>68.65833333</v>
      </c>
    </row>
    <row r="96">
      <c r="A96" s="4" t="s">
        <v>154</v>
      </c>
      <c r="B96" s="5">
        <v>34.0</v>
      </c>
      <c r="C96" s="6">
        <f t="shared" si="4"/>
        <v>36.38</v>
      </c>
      <c r="D96" s="6">
        <f t="shared" si="5"/>
        <v>40.018</v>
      </c>
      <c r="E96" s="9">
        <v>20.0</v>
      </c>
      <c r="F96" s="8">
        <f t="shared" si="6"/>
        <v>2.0009</v>
      </c>
    </row>
    <row r="97">
      <c r="A97" s="4" t="s">
        <v>155</v>
      </c>
      <c r="B97" s="5">
        <v>58.0</v>
      </c>
      <c r="C97" s="6">
        <f t="shared" si="4"/>
        <v>62.06</v>
      </c>
      <c r="D97" s="6">
        <f t="shared" si="5"/>
        <v>68.266</v>
      </c>
      <c r="E97" s="9">
        <v>20.0</v>
      </c>
      <c r="F97" s="8">
        <f t="shared" si="6"/>
        <v>3.4133</v>
      </c>
    </row>
    <row r="98">
      <c r="A98" s="4" t="s">
        <v>156</v>
      </c>
      <c r="B98" s="5">
        <v>47.03</v>
      </c>
      <c r="C98" s="6">
        <f t="shared" si="4"/>
        <v>50.3221</v>
      </c>
      <c r="D98" s="6">
        <f t="shared" si="5"/>
        <v>55.35431</v>
      </c>
      <c r="E98" s="10">
        <v>1.0</v>
      </c>
      <c r="F98" s="8">
        <f t="shared" si="6"/>
        <v>55.35431</v>
      </c>
    </row>
    <row r="99">
      <c r="A99" s="4" t="s">
        <v>157</v>
      </c>
      <c r="B99" s="5">
        <v>100.0</v>
      </c>
      <c r="C99" s="6">
        <f t="shared" si="4"/>
        <v>107</v>
      </c>
      <c r="D99" s="6">
        <f t="shared" si="5"/>
        <v>117.7</v>
      </c>
      <c r="E99" s="10">
        <v>20.0</v>
      </c>
      <c r="F99" s="8">
        <f t="shared" si="6"/>
        <v>5.885</v>
      </c>
    </row>
    <row r="100">
      <c r="A100" s="4" t="s">
        <v>158</v>
      </c>
      <c r="B100" s="5">
        <v>12.0</v>
      </c>
      <c r="C100" s="6">
        <f t="shared" si="4"/>
        <v>12.84</v>
      </c>
      <c r="D100" s="6">
        <f t="shared" si="5"/>
        <v>14.124</v>
      </c>
      <c r="E100" s="10">
        <v>75.0</v>
      </c>
      <c r="F100" s="8">
        <f t="shared" si="6"/>
        <v>0.18832</v>
      </c>
    </row>
    <row r="101">
      <c r="A101" s="4" t="s">
        <v>159</v>
      </c>
      <c r="B101" s="26"/>
      <c r="C101" s="6">
        <f t="shared" si="4"/>
        <v>0</v>
      </c>
      <c r="D101" s="6">
        <f t="shared" si="5"/>
        <v>0</v>
      </c>
      <c r="E101" s="7">
        <v>5.0</v>
      </c>
      <c r="F101" s="8">
        <f t="shared" si="6"/>
        <v>0</v>
      </c>
    </row>
    <row r="102">
      <c r="A102" s="4" t="s">
        <v>160</v>
      </c>
      <c r="B102" s="26"/>
      <c r="C102" s="6">
        <f t="shared" si="4"/>
        <v>0</v>
      </c>
      <c r="D102" s="6">
        <f t="shared" si="5"/>
        <v>0</v>
      </c>
      <c r="E102" s="7">
        <v>5.0</v>
      </c>
      <c r="F102" s="8">
        <f t="shared" si="6"/>
        <v>0</v>
      </c>
    </row>
    <row r="103">
      <c r="A103" s="4" t="s">
        <v>79</v>
      </c>
      <c r="B103" s="5">
        <v>312.0</v>
      </c>
      <c r="C103" s="6">
        <f t="shared" si="4"/>
        <v>333.84</v>
      </c>
      <c r="D103" s="6">
        <f t="shared" si="5"/>
        <v>367.224</v>
      </c>
      <c r="E103" s="7">
        <v>4.0</v>
      </c>
      <c r="F103" s="8">
        <f t="shared" si="6"/>
        <v>91.806</v>
      </c>
    </row>
    <row r="104">
      <c r="A104" s="4" t="s">
        <v>161</v>
      </c>
      <c r="B104" s="5">
        <v>303.0</v>
      </c>
      <c r="C104" s="6">
        <f t="shared" si="4"/>
        <v>324.21</v>
      </c>
      <c r="D104" s="6">
        <f t="shared" si="5"/>
        <v>356.631</v>
      </c>
      <c r="E104" s="7">
        <v>7.5</v>
      </c>
      <c r="F104" s="8">
        <f t="shared" si="6"/>
        <v>47.5508</v>
      </c>
    </row>
    <row r="105">
      <c r="A105" s="4" t="s">
        <v>83</v>
      </c>
      <c r="B105" s="5">
        <v>239.0</v>
      </c>
      <c r="C105" s="6">
        <f t="shared" si="4"/>
        <v>255.73</v>
      </c>
      <c r="D105" s="6">
        <f t="shared" si="5"/>
        <v>281.303</v>
      </c>
      <c r="E105" s="7">
        <v>7.5</v>
      </c>
      <c r="F105" s="8">
        <f t="shared" si="6"/>
        <v>37.50706667</v>
      </c>
    </row>
    <row r="106">
      <c r="A106" s="4" t="s">
        <v>162</v>
      </c>
      <c r="B106" s="5">
        <v>296.0</v>
      </c>
      <c r="C106" s="6">
        <f t="shared" si="4"/>
        <v>316.72</v>
      </c>
      <c r="D106" s="6">
        <f t="shared" si="5"/>
        <v>348.392</v>
      </c>
      <c r="E106" s="7">
        <v>5.0</v>
      </c>
      <c r="F106" s="8">
        <f t="shared" si="6"/>
        <v>69.6784</v>
      </c>
    </row>
    <row r="107">
      <c r="A107" s="4" t="s">
        <v>163</v>
      </c>
      <c r="B107" s="5">
        <v>218.99</v>
      </c>
      <c r="C107" s="6">
        <f t="shared" si="4"/>
        <v>234.3193</v>
      </c>
      <c r="D107" s="6">
        <f t="shared" si="5"/>
        <v>257.75123</v>
      </c>
      <c r="E107" s="7">
        <v>5.0</v>
      </c>
      <c r="F107" s="8">
        <f t="shared" si="6"/>
        <v>51.550246</v>
      </c>
    </row>
    <row r="108">
      <c r="A108" s="4" t="s">
        <v>164</v>
      </c>
      <c r="B108" s="5">
        <v>208.0</v>
      </c>
      <c r="C108" s="6">
        <f t="shared" si="4"/>
        <v>222.56</v>
      </c>
      <c r="D108" s="6">
        <f t="shared" si="5"/>
        <v>244.816</v>
      </c>
      <c r="E108" s="7">
        <v>4.0</v>
      </c>
      <c r="F108" s="8">
        <f t="shared" si="6"/>
        <v>61.204</v>
      </c>
    </row>
    <row r="109">
      <c r="A109" s="4" t="s">
        <v>165</v>
      </c>
      <c r="B109" s="5">
        <v>218.0</v>
      </c>
      <c r="C109" s="6">
        <f t="shared" si="4"/>
        <v>233.26</v>
      </c>
      <c r="D109" s="6">
        <f t="shared" si="5"/>
        <v>256.586</v>
      </c>
      <c r="E109" s="7">
        <v>10.0</v>
      </c>
      <c r="F109" s="8">
        <f t="shared" si="6"/>
        <v>25.6586</v>
      </c>
    </row>
    <row r="110">
      <c r="A110" s="4" t="s">
        <v>166</v>
      </c>
      <c r="B110" s="5">
        <v>156.0</v>
      </c>
      <c r="C110" s="6">
        <f t="shared" si="4"/>
        <v>166.92</v>
      </c>
      <c r="D110" s="6">
        <f t="shared" si="5"/>
        <v>183.612</v>
      </c>
      <c r="E110" s="7">
        <v>10.0</v>
      </c>
      <c r="F110" s="8">
        <f t="shared" si="6"/>
        <v>18.3612</v>
      </c>
    </row>
    <row r="111">
      <c r="A111" s="4" t="s">
        <v>189</v>
      </c>
      <c r="B111" s="26"/>
      <c r="C111" s="6">
        <f t="shared" si="4"/>
        <v>0</v>
      </c>
      <c r="D111" s="6">
        <f t="shared" si="5"/>
        <v>0</v>
      </c>
      <c r="E111" s="7">
        <v>10.0</v>
      </c>
      <c r="F111" s="8">
        <f t="shared" si="6"/>
        <v>0</v>
      </c>
    </row>
    <row r="112">
      <c r="A112" s="4" t="s">
        <v>168</v>
      </c>
      <c r="B112" s="5">
        <v>194.0</v>
      </c>
      <c r="C112" s="6">
        <f t="shared" si="4"/>
        <v>207.58</v>
      </c>
      <c r="D112" s="6">
        <f t="shared" si="5"/>
        <v>228.338</v>
      </c>
      <c r="E112" s="7">
        <v>3.333</v>
      </c>
      <c r="F112" s="8">
        <f t="shared" si="6"/>
        <v>68.50825083</v>
      </c>
    </row>
    <row r="113">
      <c r="A113" s="4" t="s">
        <v>169</v>
      </c>
      <c r="B113" s="5">
        <v>158.3</v>
      </c>
      <c r="C113" s="6">
        <f t="shared" si="4"/>
        <v>169.381</v>
      </c>
      <c r="D113" s="6">
        <f t="shared" si="5"/>
        <v>186.3191</v>
      </c>
      <c r="E113" s="7">
        <v>3.0</v>
      </c>
      <c r="F113" s="8">
        <f t="shared" si="6"/>
        <v>62.10636667</v>
      </c>
    </row>
    <row r="114">
      <c r="A114" s="4" t="s">
        <v>170</v>
      </c>
      <c r="B114" s="5">
        <v>46.0</v>
      </c>
      <c r="C114" s="6">
        <f t="shared" si="4"/>
        <v>49.22</v>
      </c>
      <c r="D114" s="6">
        <f t="shared" si="5"/>
        <v>54.142</v>
      </c>
      <c r="E114" s="7">
        <v>25.0</v>
      </c>
      <c r="F114" s="8">
        <f t="shared" si="6"/>
        <v>2.16568</v>
      </c>
    </row>
    <row r="115">
      <c r="A115" s="4" t="s">
        <v>88</v>
      </c>
      <c r="B115" s="5">
        <v>2459.0</v>
      </c>
      <c r="C115" s="6">
        <f t="shared" si="4"/>
        <v>2631.13</v>
      </c>
      <c r="D115" s="6">
        <f t="shared" si="5"/>
        <v>2894.243</v>
      </c>
      <c r="E115" s="7">
        <v>32.47</v>
      </c>
      <c r="F115" s="8">
        <f t="shared" si="6"/>
        <v>89.13591007</v>
      </c>
    </row>
    <row r="116">
      <c r="A116" s="4" t="s">
        <v>89</v>
      </c>
      <c r="B116" s="5">
        <v>2459.0</v>
      </c>
      <c r="C116" s="6">
        <f t="shared" si="4"/>
        <v>2631.13</v>
      </c>
      <c r="D116" s="6">
        <f t="shared" si="5"/>
        <v>2894.243</v>
      </c>
      <c r="E116" s="7">
        <v>24.35</v>
      </c>
      <c r="F116" s="8">
        <f t="shared" si="6"/>
        <v>118.8600821</v>
      </c>
    </row>
    <row r="117">
      <c r="A117" s="4" t="s">
        <v>90</v>
      </c>
      <c r="B117" s="5" t="s">
        <v>102</v>
      </c>
      <c r="C117" s="6" t="str">
        <f t="shared" si="4"/>
        <v>#VALUE!</v>
      </c>
      <c r="D117" s="6" t="str">
        <f t="shared" si="5"/>
        <v>#VALUE!</v>
      </c>
      <c r="E117" s="7">
        <v>12.0</v>
      </c>
      <c r="F117" s="8" t="str">
        <f t="shared" si="6"/>
        <v>#VALUE!</v>
      </c>
    </row>
    <row r="118">
      <c r="A118" s="4" t="s">
        <v>91</v>
      </c>
      <c r="B118" s="5" t="s">
        <v>102</v>
      </c>
      <c r="C118" s="6" t="str">
        <f t="shared" si="4"/>
        <v>#VALUE!</v>
      </c>
      <c r="D118" s="6" t="str">
        <f t="shared" si="5"/>
        <v>#VALUE!</v>
      </c>
      <c r="E118" s="7">
        <v>10.0</v>
      </c>
      <c r="F118" s="8" t="str">
        <f t="shared" si="6"/>
        <v>#VALUE!</v>
      </c>
    </row>
    <row r="119">
      <c r="A119" s="4" t="s">
        <v>92</v>
      </c>
      <c r="B119" s="5" t="s">
        <v>102</v>
      </c>
      <c r="C119" s="6" t="str">
        <f t="shared" si="4"/>
        <v>#VALUE!</v>
      </c>
      <c r="D119" s="6" t="str">
        <f t="shared" si="5"/>
        <v>#VALUE!</v>
      </c>
      <c r="E119" s="7">
        <v>6.0</v>
      </c>
      <c r="F119" s="8" t="str">
        <f t="shared" si="6"/>
        <v>#VALUE!</v>
      </c>
    </row>
    <row r="120">
      <c r="A120" s="4" t="s">
        <v>93</v>
      </c>
      <c r="B120" s="5" t="s">
        <v>102</v>
      </c>
      <c r="C120" s="6" t="str">
        <f t="shared" si="4"/>
        <v>#VALUE!</v>
      </c>
      <c r="D120" s="6" t="str">
        <f t="shared" si="5"/>
        <v>#VALUE!</v>
      </c>
      <c r="E120" s="7">
        <v>20.0</v>
      </c>
      <c r="F120" s="8" t="str">
        <f t="shared" si="6"/>
        <v>#VALUE!</v>
      </c>
    </row>
    <row r="121">
      <c r="A121" s="4" t="s">
        <v>94</v>
      </c>
      <c r="B121" s="5" t="s">
        <v>102</v>
      </c>
      <c r="C121" s="6" t="str">
        <f t="shared" si="4"/>
        <v>#VALUE!</v>
      </c>
      <c r="D121" s="6" t="str">
        <f t="shared" si="5"/>
        <v>#VALUE!</v>
      </c>
      <c r="E121" s="9">
        <v>3.0</v>
      </c>
      <c r="F121" s="8" t="str">
        <f t="shared" si="6"/>
        <v>#VALUE!</v>
      </c>
    </row>
    <row r="122">
      <c r="A122" s="4" t="s">
        <v>95</v>
      </c>
      <c r="B122" s="5" t="s">
        <v>102</v>
      </c>
      <c r="C122" s="6" t="str">
        <f t="shared" si="4"/>
        <v>#VALUE!</v>
      </c>
      <c r="D122" s="6" t="str">
        <f t="shared" si="5"/>
        <v>#VALUE!</v>
      </c>
      <c r="E122" s="9">
        <v>20.0</v>
      </c>
      <c r="F122" s="8" t="str">
        <f t="shared" si="6"/>
        <v>#VALUE!</v>
      </c>
    </row>
    <row r="123">
      <c r="A123" s="4" t="s">
        <v>96</v>
      </c>
      <c r="B123" s="5" t="s">
        <v>102</v>
      </c>
      <c r="C123" s="6" t="str">
        <f t="shared" si="4"/>
        <v>#VALUE!</v>
      </c>
      <c r="D123" s="6" t="str">
        <f t="shared" si="5"/>
        <v>#VALUE!</v>
      </c>
      <c r="E123" s="9">
        <v>20.0</v>
      </c>
      <c r="F123" s="8" t="str">
        <f t="shared" si="6"/>
        <v>#VALUE!</v>
      </c>
    </row>
    <row r="124">
      <c r="A124" s="4" t="s">
        <v>97</v>
      </c>
      <c r="B124" s="5" t="s">
        <v>102</v>
      </c>
      <c r="C124" s="6" t="str">
        <f t="shared" si="4"/>
        <v>#VALUE!</v>
      </c>
      <c r="D124" s="6" t="str">
        <f t="shared" si="5"/>
        <v>#VALUE!</v>
      </c>
      <c r="E124" s="10">
        <v>1.0</v>
      </c>
      <c r="F124" s="8" t="str">
        <f t="shared" si="6"/>
        <v>#VALUE!</v>
      </c>
    </row>
    <row r="125">
      <c r="A125" s="4" t="s">
        <v>98</v>
      </c>
      <c r="B125" s="5" t="s">
        <v>102</v>
      </c>
      <c r="C125" s="6" t="str">
        <f t="shared" si="4"/>
        <v>#VALUE!</v>
      </c>
      <c r="D125" s="6" t="str">
        <f t="shared" si="5"/>
        <v>#VALUE!</v>
      </c>
      <c r="E125" s="10">
        <v>20.0</v>
      </c>
      <c r="F125" s="8" t="str">
        <f t="shared" si="6"/>
        <v>#VALUE!</v>
      </c>
    </row>
    <row r="126">
      <c r="A126" s="4" t="s">
        <v>99</v>
      </c>
      <c r="B126" s="11" t="s">
        <v>102</v>
      </c>
      <c r="C126" s="6" t="str">
        <f t="shared" si="4"/>
        <v>#VALUE!</v>
      </c>
      <c r="D126" s="6" t="str">
        <f t="shared" si="5"/>
        <v>#VALUE!</v>
      </c>
      <c r="E126" s="7">
        <v>7.0</v>
      </c>
      <c r="F126" s="8" t="str">
        <f t="shared" si="6"/>
        <v>#VALUE!</v>
      </c>
    </row>
    <row r="127">
      <c r="A127" s="4" t="s">
        <v>100</v>
      </c>
      <c r="B127" s="5" t="s">
        <v>102</v>
      </c>
      <c r="C127" s="6" t="str">
        <f t="shared" si="4"/>
        <v>#VALUE!</v>
      </c>
      <c r="D127" s="6" t="str">
        <f t="shared" si="5"/>
        <v>#VALUE!</v>
      </c>
      <c r="E127" s="10">
        <v>75.0</v>
      </c>
      <c r="F127" s="8" t="str">
        <f t="shared" si="6"/>
        <v>#VALUE!</v>
      </c>
    </row>
    <row r="128">
      <c r="A128" s="20" t="s">
        <v>171</v>
      </c>
      <c r="B128" s="21">
        <v>160.0</v>
      </c>
      <c r="C128" s="22">
        <f t="shared" si="4"/>
        <v>171.2</v>
      </c>
      <c r="D128" s="22">
        <f t="shared" si="5"/>
        <v>188.32</v>
      </c>
      <c r="E128" s="23">
        <v>15.0</v>
      </c>
      <c r="F128" s="24">
        <f t="shared" si="6"/>
        <v>12.55466667</v>
      </c>
    </row>
    <row r="129">
      <c r="A129" s="4" t="s">
        <v>190</v>
      </c>
      <c r="B129" s="11">
        <v>139.62</v>
      </c>
      <c r="C129" s="6">
        <f t="shared" si="4"/>
        <v>149.3934</v>
      </c>
      <c r="D129" s="6">
        <f t="shared" si="5"/>
        <v>164.33274</v>
      </c>
      <c r="E129" s="7">
        <v>7.5</v>
      </c>
      <c r="F129" s="8">
        <f t="shared" si="6"/>
        <v>21.911032</v>
      </c>
    </row>
    <row r="130">
      <c r="A130" s="4" t="s">
        <v>191</v>
      </c>
      <c r="B130" s="11">
        <v>232.5</v>
      </c>
      <c r="C130" s="6">
        <f t="shared" si="4"/>
        <v>248.775</v>
      </c>
      <c r="D130" s="6">
        <f t="shared" si="5"/>
        <v>273.6525</v>
      </c>
      <c r="E130" s="7">
        <v>7.5</v>
      </c>
      <c r="F130" s="8">
        <f t="shared" si="6"/>
        <v>36.487</v>
      </c>
    </row>
    <row r="131">
      <c r="A131" s="4" t="s">
        <v>119</v>
      </c>
      <c r="B131" s="25">
        <v>37.44</v>
      </c>
      <c r="C131" s="6">
        <f t="shared" si="4"/>
        <v>40.0608</v>
      </c>
      <c r="D131" s="6">
        <f t="shared" si="5"/>
        <v>44.06688</v>
      </c>
      <c r="E131" s="7">
        <v>1.0</v>
      </c>
      <c r="F131" s="8">
        <f t="shared" si="6"/>
        <v>44.06688</v>
      </c>
    </row>
    <row r="132">
      <c r="A132" s="4" t="s">
        <v>121</v>
      </c>
      <c r="B132" s="11">
        <v>12.75</v>
      </c>
      <c r="C132" s="6">
        <f t="shared" si="4"/>
        <v>13.6425</v>
      </c>
      <c r="D132" s="6">
        <f t="shared" si="5"/>
        <v>15.00675</v>
      </c>
      <c r="E132" s="7">
        <v>1.0</v>
      </c>
      <c r="F132" s="8">
        <f t="shared" si="6"/>
        <v>15.00675</v>
      </c>
    </row>
    <row r="133">
      <c r="A133" s="29" t="s">
        <v>192</v>
      </c>
      <c r="B133" s="30">
        <v>278.0</v>
      </c>
      <c r="C133" s="31"/>
      <c r="D133" s="31"/>
      <c r="E133" s="29"/>
      <c r="F133" s="31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9.63"/>
    <col customWidth="1" min="6" max="6" width="16.0"/>
  </cols>
  <sheetData>
    <row r="1">
      <c r="A1" s="1" t="s">
        <v>173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I1" s="32"/>
    </row>
    <row r="2">
      <c r="A2" s="4" t="s">
        <v>6</v>
      </c>
      <c r="B2" s="5">
        <v>67.99</v>
      </c>
      <c r="C2" s="6">
        <f t="shared" ref="C2:C121" si="1">B2*1.07</f>
        <v>72.7493</v>
      </c>
      <c r="D2" s="6">
        <f t="shared" ref="D2:D121" si="2">C2*1.1</f>
        <v>80.02423</v>
      </c>
      <c r="E2" s="7">
        <v>12.5</v>
      </c>
      <c r="F2" s="8">
        <f t="shared" ref="F2:F58" si="3">D2/E2</f>
        <v>6.4019384</v>
      </c>
    </row>
    <row r="3">
      <c r="A3" s="4" t="s">
        <v>126</v>
      </c>
      <c r="B3" s="5">
        <v>76.27</v>
      </c>
      <c r="C3" s="6">
        <f t="shared" si="1"/>
        <v>81.6089</v>
      </c>
      <c r="D3" s="6">
        <f t="shared" si="2"/>
        <v>89.76979</v>
      </c>
      <c r="E3" s="7">
        <v>50.0</v>
      </c>
      <c r="F3" s="8">
        <f t="shared" si="3"/>
        <v>1.7953958</v>
      </c>
    </row>
    <row r="4">
      <c r="A4" s="4" t="s">
        <v>7</v>
      </c>
      <c r="B4" s="5">
        <v>60.0</v>
      </c>
      <c r="C4" s="6">
        <f t="shared" si="1"/>
        <v>64.2</v>
      </c>
      <c r="D4" s="6">
        <f t="shared" si="2"/>
        <v>70.62</v>
      </c>
      <c r="E4" s="7">
        <v>20.0</v>
      </c>
      <c r="F4" s="8">
        <f t="shared" si="3"/>
        <v>3.531</v>
      </c>
    </row>
    <row r="5">
      <c r="A5" s="4" t="s">
        <v>8</v>
      </c>
      <c r="B5" s="5">
        <v>27.0</v>
      </c>
      <c r="C5" s="6">
        <f t="shared" si="1"/>
        <v>28.89</v>
      </c>
      <c r="D5" s="6">
        <f t="shared" si="2"/>
        <v>31.779</v>
      </c>
      <c r="E5" s="7">
        <v>0.32</v>
      </c>
      <c r="F5" s="8">
        <f t="shared" si="3"/>
        <v>99.309375</v>
      </c>
    </row>
    <row r="6">
      <c r="A6" s="4" t="s">
        <v>193</v>
      </c>
      <c r="B6" s="5">
        <v>7.75</v>
      </c>
      <c r="C6" s="6">
        <f t="shared" si="1"/>
        <v>8.2925</v>
      </c>
      <c r="D6" s="6">
        <f t="shared" si="2"/>
        <v>9.12175</v>
      </c>
      <c r="E6" s="7"/>
      <c r="F6" s="8" t="str">
        <f t="shared" si="3"/>
        <v>#DIV/0!</v>
      </c>
    </row>
    <row r="7">
      <c r="A7" s="4" t="s">
        <v>194</v>
      </c>
      <c r="B7" s="5">
        <v>10.75</v>
      </c>
      <c r="C7" s="6">
        <f t="shared" si="1"/>
        <v>11.5025</v>
      </c>
      <c r="D7" s="6">
        <f t="shared" si="2"/>
        <v>12.65275</v>
      </c>
      <c r="E7" s="7"/>
      <c r="F7" s="8" t="str">
        <f t="shared" si="3"/>
        <v>#DIV/0!</v>
      </c>
    </row>
    <row r="8">
      <c r="A8" s="4" t="s">
        <v>195</v>
      </c>
      <c r="B8" s="5">
        <v>8.0</v>
      </c>
      <c r="C8" s="6">
        <f t="shared" si="1"/>
        <v>8.56</v>
      </c>
      <c r="D8" s="6">
        <f t="shared" si="2"/>
        <v>9.416</v>
      </c>
      <c r="E8" s="7"/>
      <c r="F8" s="8" t="str">
        <f t="shared" si="3"/>
        <v>#DIV/0!</v>
      </c>
    </row>
    <row r="9">
      <c r="A9" s="4" t="s">
        <v>196</v>
      </c>
      <c r="B9" s="5">
        <v>11.0</v>
      </c>
      <c r="C9" s="6">
        <f t="shared" si="1"/>
        <v>11.77</v>
      </c>
      <c r="D9" s="6">
        <f t="shared" si="2"/>
        <v>12.947</v>
      </c>
      <c r="E9" s="7"/>
      <c r="F9" s="8" t="str">
        <f t="shared" si="3"/>
        <v>#DIV/0!</v>
      </c>
    </row>
    <row r="10">
      <c r="A10" s="4" t="s">
        <v>11</v>
      </c>
      <c r="B10" s="5">
        <v>2.2</v>
      </c>
      <c r="C10" s="6">
        <f t="shared" si="1"/>
        <v>2.354</v>
      </c>
      <c r="D10" s="6">
        <f t="shared" si="2"/>
        <v>2.5894</v>
      </c>
      <c r="E10" s="7">
        <v>1.0</v>
      </c>
      <c r="F10" s="8">
        <f t="shared" si="3"/>
        <v>2.5894</v>
      </c>
    </row>
    <row r="11">
      <c r="A11" s="4" t="s">
        <v>12</v>
      </c>
      <c r="B11" s="5">
        <v>6.75</v>
      </c>
      <c r="C11" s="6">
        <f t="shared" si="1"/>
        <v>7.2225</v>
      </c>
      <c r="D11" s="6">
        <f t="shared" si="2"/>
        <v>7.94475</v>
      </c>
      <c r="E11" s="7">
        <v>1.0</v>
      </c>
      <c r="F11" s="8">
        <f t="shared" si="3"/>
        <v>7.94475</v>
      </c>
    </row>
    <row r="12">
      <c r="A12" s="4" t="s">
        <v>13</v>
      </c>
      <c r="B12" s="5">
        <v>7.2</v>
      </c>
      <c r="C12" s="6">
        <f t="shared" si="1"/>
        <v>7.704</v>
      </c>
      <c r="D12" s="6">
        <f t="shared" si="2"/>
        <v>8.4744</v>
      </c>
      <c r="E12" s="7">
        <v>1.0</v>
      </c>
      <c r="F12" s="8">
        <f t="shared" si="3"/>
        <v>8.4744</v>
      </c>
    </row>
    <row r="13">
      <c r="A13" s="4" t="s">
        <v>197</v>
      </c>
      <c r="B13" s="5">
        <v>8.75</v>
      </c>
      <c r="C13" s="6">
        <f t="shared" si="1"/>
        <v>9.3625</v>
      </c>
      <c r="D13" s="6">
        <f t="shared" si="2"/>
        <v>10.29875</v>
      </c>
      <c r="E13" s="7">
        <v>1.0</v>
      </c>
      <c r="F13" s="8">
        <f t="shared" si="3"/>
        <v>10.29875</v>
      </c>
    </row>
    <row r="14">
      <c r="A14" s="4" t="s">
        <v>198</v>
      </c>
      <c r="B14" s="5">
        <v>11.25</v>
      </c>
      <c r="C14" s="6">
        <f t="shared" si="1"/>
        <v>12.0375</v>
      </c>
      <c r="D14" s="6">
        <f t="shared" si="2"/>
        <v>13.24125</v>
      </c>
      <c r="E14" s="7">
        <v>1.0</v>
      </c>
      <c r="F14" s="8">
        <f t="shared" si="3"/>
        <v>13.24125</v>
      </c>
    </row>
    <row r="15">
      <c r="A15" s="4" t="s">
        <v>199</v>
      </c>
      <c r="B15" s="5">
        <v>14.0</v>
      </c>
      <c r="C15" s="6">
        <f t="shared" si="1"/>
        <v>14.98</v>
      </c>
      <c r="D15" s="6">
        <f t="shared" si="2"/>
        <v>16.478</v>
      </c>
      <c r="E15" s="7">
        <v>1.0</v>
      </c>
      <c r="F15" s="8">
        <f t="shared" si="3"/>
        <v>16.478</v>
      </c>
    </row>
    <row r="16">
      <c r="A16" s="4" t="s">
        <v>131</v>
      </c>
      <c r="B16" s="5"/>
      <c r="C16" s="6">
        <f t="shared" si="1"/>
        <v>0</v>
      </c>
      <c r="D16" s="6">
        <f t="shared" si="2"/>
        <v>0</v>
      </c>
      <c r="E16" s="7">
        <v>4.0</v>
      </c>
      <c r="F16" s="8">
        <f t="shared" si="3"/>
        <v>0</v>
      </c>
    </row>
    <row r="17">
      <c r="A17" s="4" t="s">
        <v>40</v>
      </c>
      <c r="B17" s="5"/>
      <c r="C17" s="6">
        <f t="shared" si="1"/>
        <v>0</v>
      </c>
      <c r="D17" s="6">
        <f t="shared" si="2"/>
        <v>0</v>
      </c>
      <c r="E17" s="7">
        <v>4.0</v>
      </c>
      <c r="F17" s="8">
        <f t="shared" si="3"/>
        <v>0</v>
      </c>
    </row>
    <row r="18">
      <c r="A18" s="4" t="s">
        <v>107</v>
      </c>
      <c r="B18" s="5"/>
      <c r="C18" s="6">
        <f t="shared" si="1"/>
        <v>0</v>
      </c>
      <c r="D18" s="6">
        <f t="shared" si="2"/>
        <v>0</v>
      </c>
      <c r="E18" s="7">
        <v>4.0</v>
      </c>
      <c r="F18" s="8">
        <f t="shared" si="3"/>
        <v>0</v>
      </c>
    </row>
    <row r="19">
      <c r="A19" s="4" t="s">
        <v>108</v>
      </c>
      <c r="B19" s="5"/>
      <c r="C19" s="6">
        <f t="shared" si="1"/>
        <v>0</v>
      </c>
      <c r="D19" s="6">
        <f t="shared" si="2"/>
        <v>0</v>
      </c>
      <c r="E19" s="7">
        <v>4.0</v>
      </c>
      <c r="F19" s="8">
        <f t="shared" si="3"/>
        <v>0</v>
      </c>
    </row>
    <row r="20">
      <c r="A20" s="4" t="s">
        <v>132</v>
      </c>
      <c r="B20" s="5"/>
      <c r="C20" s="6">
        <f t="shared" si="1"/>
        <v>0</v>
      </c>
      <c r="D20" s="6">
        <f t="shared" si="2"/>
        <v>0</v>
      </c>
      <c r="E20" s="7">
        <v>4.0</v>
      </c>
      <c r="F20" s="8">
        <f t="shared" si="3"/>
        <v>0</v>
      </c>
    </row>
    <row r="21">
      <c r="A21" s="4" t="s">
        <v>41</v>
      </c>
      <c r="B21" s="5">
        <v>40.0</v>
      </c>
      <c r="C21" s="6">
        <f t="shared" si="1"/>
        <v>42.8</v>
      </c>
      <c r="D21" s="6">
        <f t="shared" si="2"/>
        <v>47.08</v>
      </c>
      <c r="E21" s="7">
        <v>4.0</v>
      </c>
      <c r="F21" s="8">
        <f t="shared" si="3"/>
        <v>11.77</v>
      </c>
    </row>
    <row r="22">
      <c r="A22" s="4" t="s">
        <v>14</v>
      </c>
      <c r="B22" s="5">
        <v>10.4</v>
      </c>
      <c r="C22" s="6">
        <f t="shared" si="1"/>
        <v>11.128</v>
      </c>
      <c r="D22" s="6">
        <f t="shared" si="2"/>
        <v>12.2408</v>
      </c>
      <c r="E22" s="7">
        <v>1.0</v>
      </c>
      <c r="F22" s="8">
        <f t="shared" si="3"/>
        <v>12.2408</v>
      </c>
    </row>
    <row r="23">
      <c r="A23" s="4" t="s">
        <v>15</v>
      </c>
      <c r="B23" s="5">
        <v>9.5</v>
      </c>
      <c r="C23" s="6">
        <f t="shared" si="1"/>
        <v>10.165</v>
      </c>
      <c r="D23" s="6">
        <f t="shared" si="2"/>
        <v>11.1815</v>
      </c>
      <c r="E23" s="7">
        <v>1.0</v>
      </c>
      <c r="F23" s="8">
        <f t="shared" si="3"/>
        <v>11.1815</v>
      </c>
    </row>
    <row r="24">
      <c r="A24" s="4" t="s">
        <v>16</v>
      </c>
      <c r="B24" s="5"/>
      <c r="C24" s="6">
        <f t="shared" si="1"/>
        <v>0</v>
      </c>
      <c r="D24" s="6">
        <f t="shared" si="2"/>
        <v>0</v>
      </c>
      <c r="E24" s="7">
        <v>1.0</v>
      </c>
      <c r="F24" s="8">
        <f t="shared" si="3"/>
        <v>0</v>
      </c>
    </row>
    <row r="25">
      <c r="A25" s="4" t="s">
        <v>17</v>
      </c>
      <c r="B25" s="5">
        <v>13.0</v>
      </c>
      <c r="C25" s="6">
        <f t="shared" si="1"/>
        <v>13.91</v>
      </c>
      <c r="D25" s="6">
        <f t="shared" si="2"/>
        <v>15.301</v>
      </c>
      <c r="E25" s="7">
        <v>1.0</v>
      </c>
      <c r="F25" s="8">
        <f t="shared" si="3"/>
        <v>15.301</v>
      </c>
    </row>
    <row r="26">
      <c r="A26" s="4" t="s">
        <v>19</v>
      </c>
      <c r="B26" s="5">
        <v>15.0</v>
      </c>
      <c r="C26" s="6">
        <f t="shared" si="1"/>
        <v>16.05</v>
      </c>
      <c r="D26" s="6">
        <f t="shared" si="2"/>
        <v>17.655</v>
      </c>
      <c r="E26" s="7">
        <v>1.0</v>
      </c>
      <c r="F26" s="8">
        <f t="shared" si="3"/>
        <v>17.655</v>
      </c>
    </row>
    <row r="27">
      <c r="A27" s="4" t="s">
        <v>103</v>
      </c>
      <c r="B27" s="5"/>
      <c r="C27" s="6">
        <f t="shared" si="1"/>
        <v>0</v>
      </c>
      <c r="D27" s="6">
        <f t="shared" si="2"/>
        <v>0</v>
      </c>
      <c r="E27" s="7">
        <v>1.0</v>
      </c>
      <c r="F27" s="8">
        <f t="shared" si="3"/>
        <v>0</v>
      </c>
    </row>
    <row r="28">
      <c r="A28" s="4" t="s">
        <v>26</v>
      </c>
      <c r="B28" s="5">
        <v>80.66</v>
      </c>
      <c r="C28" s="6">
        <f t="shared" si="1"/>
        <v>86.3062</v>
      </c>
      <c r="D28" s="6">
        <f t="shared" si="2"/>
        <v>94.93682</v>
      </c>
      <c r="E28" s="7">
        <v>10.0</v>
      </c>
      <c r="F28" s="8">
        <f t="shared" si="3"/>
        <v>9.493682</v>
      </c>
    </row>
    <row r="29">
      <c r="A29" s="4" t="s">
        <v>133</v>
      </c>
      <c r="B29" s="5" t="s">
        <v>200</v>
      </c>
      <c r="C29" s="6" t="str">
        <f t="shared" si="1"/>
        <v>#VALUE!</v>
      </c>
      <c r="D29" s="6" t="str">
        <f t="shared" si="2"/>
        <v>#VALUE!</v>
      </c>
      <c r="E29" s="7">
        <v>10.0</v>
      </c>
      <c r="F29" s="8" t="str">
        <f t="shared" si="3"/>
        <v>#VALUE!</v>
      </c>
    </row>
    <row r="30">
      <c r="A30" s="4" t="s">
        <v>201</v>
      </c>
      <c r="B30" s="5">
        <v>8.0</v>
      </c>
      <c r="C30" s="6">
        <f t="shared" si="1"/>
        <v>8.56</v>
      </c>
      <c r="D30" s="6">
        <f t="shared" si="2"/>
        <v>9.416</v>
      </c>
      <c r="E30" s="7">
        <v>1.0</v>
      </c>
      <c r="F30" s="8">
        <f t="shared" si="3"/>
        <v>9.416</v>
      </c>
    </row>
    <row r="31">
      <c r="A31" s="4" t="s">
        <v>27</v>
      </c>
      <c r="B31" s="5">
        <v>9.0</v>
      </c>
      <c r="C31" s="6">
        <f t="shared" si="1"/>
        <v>9.63</v>
      </c>
      <c r="D31" s="6">
        <f t="shared" si="2"/>
        <v>10.593</v>
      </c>
      <c r="E31" s="7">
        <v>1.0</v>
      </c>
      <c r="F31" s="8">
        <f t="shared" si="3"/>
        <v>10.593</v>
      </c>
    </row>
    <row r="32">
      <c r="A32" s="4" t="s">
        <v>28</v>
      </c>
      <c r="B32" s="5"/>
      <c r="C32" s="6">
        <f t="shared" si="1"/>
        <v>0</v>
      </c>
      <c r="D32" s="6">
        <f t="shared" si="2"/>
        <v>0</v>
      </c>
      <c r="E32" s="7">
        <v>1.0</v>
      </c>
      <c r="F32" s="8">
        <f t="shared" si="3"/>
        <v>0</v>
      </c>
    </row>
    <row r="33">
      <c r="A33" s="4" t="s">
        <v>175</v>
      </c>
      <c r="B33" s="5"/>
      <c r="C33" s="6">
        <f t="shared" si="1"/>
        <v>0</v>
      </c>
      <c r="D33" s="6">
        <f t="shared" si="2"/>
        <v>0</v>
      </c>
      <c r="E33" s="7">
        <v>2.0</v>
      </c>
      <c r="F33" s="8">
        <f t="shared" si="3"/>
        <v>0</v>
      </c>
    </row>
    <row r="34">
      <c r="A34" s="4" t="s">
        <v>176</v>
      </c>
      <c r="B34" s="5">
        <v>59.0</v>
      </c>
      <c r="C34" s="6">
        <f t="shared" si="1"/>
        <v>63.13</v>
      </c>
      <c r="D34" s="6">
        <f t="shared" si="2"/>
        <v>69.443</v>
      </c>
      <c r="E34" s="7">
        <v>1.85</v>
      </c>
      <c r="F34" s="8">
        <f t="shared" si="3"/>
        <v>37.53675676</v>
      </c>
    </row>
    <row r="35">
      <c r="A35" s="4" t="s">
        <v>177</v>
      </c>
      <c r="B35" s="5">
        <v>72.0</v>
      </c>
      <c r="C35" s="6">
        <f t="shared" si="1"/>
        <v>77.04</v>
      </c>
      <c r="D35" s="6">
        <f t="shared" si="2"/>
        <v>84.744</v>
      </c>
      <c r="E35" s="7">
        <v>1.85</v>
      </c>
      <c r="F35" s="8">
        <f t="shared" si="3"/>
        <v>45.80756757</v>
      </c>
    </row>
    <row r="36">
      <c r="A36" s="4" t="s">
        <v>178</v>
      </c>
      <c r="B36" s="5"/>
      <c r="C36" s="6">
        <f t="shared" si="1"/>
        <v>0</v>
      </c>
      <c r="D36" s="6">
        <f t="shared" si="2"/>
        <v>0</v>
      </c>
      <c r="E36" s="7">
        <v>2.25</v>
      </c>
      <c r="F36" s="8">
        <f t="shared" si="3"/>
        <v>0</v>
      </c>
    </row>
    <row r="37">
      <c r="A37" s="4" t="s">
        <v>179</v>
      </c>
      <c r="B37" s="5"/>
      <c r="C37" s="6">
        <f t="shared" si="1"/>
        <v>0</v>
      </c>
      <c r="D37" s="6">
        <f t="shared" si="2"/>
        <v>0</v>
      </c>
      <c r="E37" s="7">
        <v>1.85</v>
      </c>
      <c r="F37" s="8">
        <f t="shared" si="3"/>
        <v>0</v>
      </c>
    </row>
    <row r="38">
      <c r="A38" s="4" t="s">
        <v>180</v>
      </c>
      <c r="B38" s="27"/>
      <c r="C38" s="6">
        <f t="shared" si="1"/>
        <v>0</v>
      </c>
      <c r="D38" s="6">
        <f t="shared" si="2"/>
        <v>0</v>
      </c>
      <c r="E38" s="7">
        <v>1.85</v>
      </c>
      <c r="F38" s="8">
        <f t="shared" si="3"/>
        <v>0</v>
      </c>
    </row>
    <row r="39">
      <c r="A39" s="4" t="s">
        <v>172</v>
      </c>
      <c r="B39" s="5">
        <v>82.86</v>
      </c>
      <c r="C39" s="6">
        <f t="shared" si="1"/>
        <v>88.6602</v>
      </c>
      <c r="D39" s="6">
        <f t="shared" si="2"/>
        <v>97.52622</v>
      </c>
      <c r="E39" s="7">
        <v>2.0</v>
      </c>
      <c r="F39" s="8">
        <f t="shared" si="3"/>
        <v>48.76311</v>
      </c>
    </row>
    <row r="40">
      <c r="A40" s="4" t="s">
        <v>122</v>
      </c>
      <c r="B40" s="5">
        <v>113.9</v>
      </c>
      <c r="C40" s="6">
        <f t="shared" si="1"/>
        <v>121.873</v>
      </c>
      <c r="D40" s="6">
        <f t="shared" si="2"/>
        <v>134.0603</v>
      </c>
      <c r="E40" s="7">
        <v>2.0</v>
      </c>
      <c r="F40" s="8">
        <f t="shared" si="3"/>
        <v>67.03015</v>
      </c>
    </row>
    <row r="41">
      <c r="A41" s="4" t="s">
        <v>123</v>
      </c>
      <c r="B41" s="5">
        <v>103.5</v>
      </c>
      <c r="C41" s="6">
        <f t="shared" si="1"/>
        <v>110.745</v>
      </c>
      <c r="D41" s="6">
        <f t="shared" si="2"/>
        <v>121.8195</v>
      </c>
      <c r="E41" s="7">
        <v>2.0</v>
      </c>
      <c r="F41" s="8">
        <f t="shared" si="3"/>
        <v>60.90975</v>
      </c>
    </row>
    <row r="42">
      <c r="A42" s="28" t="s">
        <v>181</v>
      </c>
      <c r="B42" s="27"/>
      <c r="C42" s="6">
        <f t="shared" si="1"/>
        <v>0</v>
      </c>
      <c r="D42" s="6">
        <f t="shared" si="2"/>
        <v>0</v>
      </c>
      <c r="E42" s="7">
        <v>2.0</v>
      </c>
      <c r="F42" s="8">
        <f t="shared" si="3"/>
        <v>0</v>
      </c>
    </row>
    <row r="43">
      <c r="A43" s="4" t="s">
        <v>134</v>
      </c>
      <c r="B43" s="5">
        <v>72.0</v>
      </c>
      <c r="C43" s="6">
        <f t="shared" si="1"/>
        <v>77.04</v>
      </c>
      <c r="D43" s="6">
        <f t="shared" si="2"/>
        <v>84.744</v>
      </c>
      <c r="E43" s="7">
        <v>1.9</v>
      </c>
      <c r="F43" s="8">
        <f t="shared" si="3"/>
        <v>44.60210526</v>
      </c>
    </row>
    <row r="44">
      <c r="A44" s="4" t="s">
        <v>182</v>
      </c>
      <c r="B44" s="5"/>
      <c r="C44" s="6">
        <f t="shared" si="1"/>
        <v>0</v>
      </c>
      <c r="D44" s="6">
        <f t="shared" si="2"/>
        <v>0</v>
      </c>
      <c r="E44" s="7">
        <v>2.0</v>
      </c>
      <c r="F44" s="8">
        <f t="shared" si="3"/>
        <v>0</v>
      </c>
    </row>
    <row r="45">
      <c r="A45" s="4" t="s">
        <v>124</v>
      </c>
      <c r="B45" s="5">
        <v>114.25</v>
      </c>
      <c r="C45" s="6">
        <f t="shared" si="1"/>
        <v>122.2475</v>
      </c>
      <c r="D45" s="6">
        <f t="shared" si="2"/>
        <v>134.47225</v>
      </c>
      <c r="E45" s="7">
        <v>2.0</v>
      </c>
      <c r="F45" s="8">
        <f t="shared" si="3"/>
        <v>67.236125</v>
      </c>
    </row>
    <row r="46">
      <c r="A46" s="4" t="s">
        <v>125</v>
      </c>
      <c r="B46" s="5">
        <v>132.25</v>
      </c>
      <c r="C46" s="6">
        <f t="shared" si="1"/>
        <v>141.5075</v>
      </c>
      <c r="D46" s="6">
        <f t="shared" si="2"/>
        <v>155.65825</v>
      </c>
      <c r="E46" s="7">
        <v>1.5</v>
      </c>
      <c r="F46" s="8">
        <f t="shared" si="3"/>
        <v>103.7721667</v>
      </c>
    </row>
    <row r="47">
      <c r="A47" s="4" t="s">
        <v>42</v>
      </c>
      <c r="B47" s="5">
        <v>58.0</v>
      </c>
      <c r="C47" s="6">
        <f t="shared" si="1"/>
        <v>62.06</v>
      </c>
      <c r="D47" s="6">
        <f t="shared" si="2"/>
        <v>68.266</v>
      </c>
      <c r="E47" s="7">
        <v>5.0</v>
      </c>
      <c r="F47" s="8">
        <f t="shared" si="3"/>
        <v>13.6532</v>
      </c>
    </row>
    <row r="48">
      <c r="A48" s="4" t="s">
        <v>29</v>
      </c>
      <c r="B48" s="5">
        <v>40.75</v>
      </c>
      <c r="C48" s="6">
        <f t="shared" si="1"/>
        <v>43.6025</v>
      </c>
      <c r="D48" s="6">
        <f t="shared" si="2"/>
        <v>47.96275</v>
      </c>
      <c r="E48" s="7">
        <v>7.0</v>
      </c>
      <c r="F48" s="8">
        <f t="shared" si="3"/>
        <v>6.851821429</v>
      </c>
    </row>
    <row r="49">
      <c r="A49" s="4" t="s">
        <v>105</v>
      </c>
      <c r="B49" s="5">
        <v>45.75</v>
      </c>
      <c r="C49" s="6">
        <f t="shared" si="1"/>
        <v>48.9525</v>
      </c>
      <c r="D49" s="6">
        <f t="shared" si="2"/>
        <v>53.84775</v>
      </c>
      <c r="E49" s="7">
        <v>5.0</v>
      </c>
      <c r="F49" s="8">
        <f t="shared" si="3"/>
        <v>10.76955</v>
      </c>
    </row>
    <row r="50">
      <c r="A50" s="4" t="s">
        <v>31</v>
      </c>
      <c r="B50" s="5">
        <v>165.3</v>
      </c>
      <c r="C50" s="6">
        <f t="shared" si="1"/>
        <v>176.871</v>
      </c>
      <c r="D50" s="6">
        <f t="shared" si="2"/>
        <v>194.5581</v>
      </c>
      <c r="E50" s="7">
        <v>2.5</v>
      </c>
      <c r="F50" s="8">
        <f t="shared" si="3"/>
        <v>77.82324</v>
      </c>
    </row>
    <row r="51">
      <c r="A51" s="4" t="s">
        <v>33</v>
      </c>
      <c r="B51" s="5">
        <v>19.5</v>
      </c>
      <c r="C51" s="6">
        <f t="shared" si="1"/>
        <v>20.865</v>
      </c>
      <c r="D51" s="6">
        <f t="shared" si="2"/>
        <v>22.9515</v>
      </c>
      <c r="E51" s="7">
        <v>1.25</v>
      </c>
      <c r="F51" s="8">
        <f t="shared" si="3"/>
        <v>18.3612</v>
      </c>
    </row>
    <row r="52">
      <c r="A52" s="4" t="s">
        <v>34</v>
      </c>
      <c r="B52" s="5">
        <v>20.75</v>
      </c>
      <c r="C52" s="6">
        <f t="shared" si="1"/>
        <v>22.2025</v>
      </c>
      <c r="D52" s="6">
        <f t="shared" si="2"/>
        <v>24.42275</v>
      </c>
      <c r="E52" s="7">
        <v>1.25</v>
      </c>
      <c r="F52" s="8">
        <f t="shared" si="3"/>
        <v>19.5382</v>
      </c>
    </row>
    <row r="53">
      <c r="A53" s="4" t="s">
        <v>35</v>
      </c>
      <c r="B53" s="5">
        <v>22.5</v>
      </c>
      <c r="C53" s="6">
        <f t="shared" si="1"/>
        <v>24.075</v>
      </c>
      <c r="D53" s="6">
        <f t="shared" si="2"/>
        <v>26.4825</v>
      </c>
      <c r="E53" s="7">
        <v>1.25</v>
      </c>
      <c r="F53" s="8">
        <f t="shared" si="3"/>
        <v>21.186</v>
      </c>
    </row>
    <row r="54">
      <c r="A54" s="4" t="s">
        <v>36</v>
      </c>
      <c r="B54" s="5"/>
      <c r="C54" s="6">
        <f t="shared" si="1"/>
        <v>0</v>
      </c>
      <c r="D54" s="6">
        <f t="shared" si="2"/>
        <v>0</v>
      </c>
      <c r="E54" s="7">
        <v>0.333</v>
      </c>
      <c r="F54" s="8">
        <f t="shared" si="3"/>
        <v>0</v>
      </c>
    </row>
    <row r="55">
      <c r="A55" s="4" t="s">
        <v>135</v>
      </c>
      <c r="B55" s="5">
        <v>60.5</v>
      </c>
      <c r="C55" s="6">
        <f t="shared" si="1"/>
        <v>64.735</v>
      </c>
      <c r="D55" s="6">
        <f t="shared" si="2"/>
        <v>71.2085</v>
      </c>
      <c r="E55" s="7">
        <v>20.0</v>
      </c>
      <c r="F55" s="8">
        <f t="shared" si="3"/>
        <v>3.560425</v>
      </c>
    </row>
    <row r="56">
      <c r="A56" s="4" t="s">
        <v>136</v>
      </c>
      <c r="B56" s="5">
        <v>61.51</v>
      </c>
      <c r="C56" s="6">
        <f t="shared" si="1"/>
        <v>65.8157</v>
      </c>
      <c r="D56" s="6">
        <f t="shared" si="2"/>
        <v>72.39727</v>
      </c>
      <c r="E56" s="7">
        <v>3.0</v>
      </c>
      <c r="F56" s="8">
        <f t="shared" si="3"/>
        <v>24.13242333</v>
      </c>
    </row>
    <row r="57">
      <c r="A57" s="4" t="s">
        <v>106</v>
      </c>
      <c r="B57" s="5">
        <v>39.33</v>
      </c>
      <c r="C57" s="6">
        <f t="shared" si="1"/>
        <v>42.0831</v>
      </c>
      <c r="D57" s="6">
        <f t="shared" si="2"/>
        <v>46.29141</v>
      </c>
      <c r="E57" s="7">
        <v>0.333</v>
      </c>
      <c r="F57" s="8">
        <f t="shared" si="3"/>
        <v>139.0132432</v>
      </c>
    </row>
    <row r="58">
      <c r="A58" s="4" t="s">
        <v>38</v>
      </c>
      <c r="B58" s="5">
        <v>43.66</v>
      </c>
      <c r="C58" s="6">
        <f t="shared" si="1"/>
        <v>46.7162</v>
      </c>
      <c r="D58" s="6">
        <f t="shared" si="2"/>
        <v>51.38782</v>
      </c>
      <c r="E58" s="7">
        <v>0.333</v>
      </c>
      <c r="F58" s="8">
        <f t="shared" si="3"/>
        <v>154.3177778</v>
      </c>
    </row>
    <row r="59">
      <c r="A59" s="4" t="s">
        <v>202</v>
      </c>
      <c r="B59" s="5">
        <v>12.73</v>
      </c>
      <c r="C59" s="6">
        <f t="shared" si="1"/>
        <v>13.6211</v>
      </c>
      <c r="D59" s="6">
        <f t="shared" si="2"/>
        <v>14.98321</v>
      </c>
      <c r="E59" s="7"/>
      <c r="F59" s="33">
        <f>D59/4</f>
        <v>3.7458025</v>
      </c>
    </row>
    <row r="60">
      <c r="A60" s="4" t="s">
        <v>137</v>
      </c>
      <c r="B60" s="5">
        <v>127.78</v>
      </c>
      <c r="C60" s="6">
        <f t="shared" si="1"/>
        <v>136.7246</v>
      </c>
      <c r="D60" s="6">
        <f t="shared" si="2"/>
        <v>150.39706</v>
      </c>
      <c r="E60" s="7">
        <v>2.0</v>
      </c>
      <c r="F60" s="8">
        <f t="shared" ref="F60:F121" si="4">D60/E60</f>
        <v>75.19853</v>
      </c>
    </row>
    <row r="61">
      <c r="A61" s="4" t="s">
        <v>183</v>
      </c>
      <c r="B61" s="5"/>
      <c r="C61" s="6">
        <f t="shared" si="1"/>
        <v>0</v>
      </c>
      <c r="D61" s="6">
        <f t="shared" si="2"/>
        <v>0</v>
      </c>
      <c r="E61" s="7">
        <v>1.5</v>
      </c>
      <c r="F61" s="8">
        <f t="shared" si="4"/>
        <v>0</v>
      </c>
    </row>
    <row r="62">
      <c r="A62" s="4" t="s">
        <v>138</v>
      </c>
      <c r="B62" s="5">
        <v>115.3</v>
      </c>
      <c r="C62" s="6">
        <f t="shared" si="1"/>
        <v>123.371</v>
      </c>
      <c r="D62" s="6">
        <f t="shared" si="2"/>
        <v>135.7081</v>
      </c>
      <c r="E62" s="7">
        <v>2.0</v>
      </c>
      <c r="F62" s="8">
        <f t="shared" si="4"/>
        <v>67.85405</v>
      </c>
    </row>
    <row r="63">
      <c r="A63" s="4" t="s">
        <v>139</v>
      </c>
      <c r="B63" s="5">
        <v>109.75</v>
      </c>
      <c r="C63" s="6">
        <f t="shared" si="1"/>
        <v>117.4325</v>
      </c>
      <c r="D63" s="6">
        <f t="shared" si="2"/>
        <v>129.17575</v>
      </c>
      <c r="E63" s="7">
        <v>1.0</v>
      </c>
      <c r="F63" s="8">
        <f t="shared" si="4"/>
        <v>129.17575</v>
      </c>
    </row>
    <row r="64">
      <c r="A64" s="4" t="s">
        <v>44</v>
      </c>
      <c r="B64" s="5">
        <v>128.35</v>
      </c>
      <c r="C64" s="6">
        <f t="shared" si="1"/>
        <v>137.3345</v>
      </c>
      <c r="D64" s="6">
        <f t="shared" si="2"/>
        <v>151.06795</v>
      </c>
      <c r="E64" s="7">
        <v>2.0</v>
      </c>
      <c r="F64" s="8">
        <f t="shared" si="4"/>
        <v>75.533975</v>
      </c>
    </row>
    <row r="65">
      <c r="A65" s="4" t="s">
        <v>45</v>
      </c>
      <c r="B65" s="5">
        <v>125.85</v>
      </c>
      <c r="C65" s="6">
        <f t="shared" si="1"/>
        <v>134.6595</v>
      </c>
      <c r="D65" s="6">
        <f t="shared" si="2"/>
        <v>148.12545</v>
      </c>
      <c r="E65" s="7">
        <v>1.0</v>
      </c>
      <c r="F65" s="8">
        <f t="shared" si="4"/>
        <v>148.12545</v>
      </c>
    </row>
    <row r="66">
      <c r="A66" s="4" t="s">
        <v>46</v>
      </c>
      <c r="B66" s="5">
        <v>135.3</v>
      </c>
      <c r="C66" s="6">
        <f t="shared" si="1"/>
        <v>144.771</v>
      </c>
      <c r="D66" s="6">
        <f t="shared" si="2"/>
        <v>159.2481</v>
      </c>
      <c r="E66" s="7">
        <v>1.5</v>
      </c>
      <c r="F66" s="8">
        <f t="shared" si="4"/>
        <v>106.1654</v>
      </c>
    </row>
    <row r="67">
      <c r="A67" s="4" t="s">
        <v>203</v>
      </c>
      <c r="B67" s="5">
        <v>96.86</v>
      </c>
      <c r="C67" s="6">
        <f t="shared" si="1"/>
        <v>103.6402</v>
      </c>
      <c r="D67" s="6">
        <f t="shared" si="2"/>
        <v>114.00422</v>
      </c>
      <c r="E67" s="7">
        <v>1.0</v>
      </c>
      <c r="F67" s="8">
        <f t="shared" si="4"/>
        <v>114.00422</v>
      </c>
    </row>
    <row r="68">
      <c r="A68" s="4" t="s">
        <v>204</v>
      </c>
      <c r="B68" s="5">
        <v>109.27</v>
      </c>
      <c r="C68" s="6">
        <f t="shared" si="1"/>
        <v>116.9189</v>
      </c>
      <c r="D68" s="6">
        <f t="shared" si="2"/>
        <v>128.61079</v>
      </c>
      <c r="E68" s="7">
        <v>1.0</v>
      </c>
      <c r="F68" s="8">
        <f t="shared" si="4"/>
        <v>128.61079</v>
      </c>
    </row>
    <row r="69">
      <c r="A69" s="4" t="s">
        <v>184</v>
      </c>
      <c r="B69" s="5"/>
      <c r="C69" s="6">
        <f t="shared" si="1"/>
        <v>0</v>
      </c>
      <c r="D69" s="6">
        <f t="shared" si="2"/>
        <v>0</v>
      </c>
      <c r="E69" s="7">
        <v>2.0</v>
      </c>
      <c r="F69" s="8">
        <f t="shared" si="4"/>
        <v>0</v>
      </c>
    </row>
    <row r="70">
      <c r="A70" s="4" t="s">
        <v>50</v>
      </c>
      <c r="B70" s="5">
        <v>13.36</v>
      </c>
      <c r="C70" s="6">
        <f t="shared" si="1"/>
        <v>14.2952</v>
      </c>
      <c r="D70" s="6">
        <f t="shared" si="2"/>
        <v>15.72472</v>
      </c>
      <c r="E70" s="7">
        <v>0.16</v>
      </c>
      <c r="F70" s="8">
        <f t="shared" si="4"/>
        <v>98.2795</v>
      </c>
    </row>
    <row r="71">
      <c r="A71" s="4" t="s">
        <v>51</v>
      </c>
      <c r="B71" s="5">
        <v>14.68</v>
      </c>
      <c r="C71" s="6">
        <f t="shared" si="1"/>
        <v>15.7076</v>
      </c>
      <c r="D71" s="6">
        <f t="shared" si="2"/>
        <v>17.27836</v>
      </c>
      <c r="E71" s="7">
        <v>0.16</v>
      </c>
      <c r="F71" s="8">
        <f t="shared" si="4"/>
        <v>107.98975</v>
      </c>
    </row>
    <row r="72">
      <c r="A72" s="4" t="s">
        <v>140</v>
      </c>
      <c r="B72" s="5">
        <v>11.13</v>
      </c>
      <c r="C72" s="6">
        <f t="shared" si="1"/>
        <v>11.9091</v>
      </c>
      <c r="D72" s="6">
        <f t="shared" si="2"/>
        <v>13.10001</v>
      </c>
      <c r="E72" s="7">
        <v>0.16</v>
      </c>
      <c r="F72" s="8">
        <f t="shared" si="4"/>
        <v>81.8750625</v>
      </c>
    </row>
    <row r="73">
      <c r="A73" s="4" t="s">
        <v>141</v>
      </c>
      <c r="B73" s="5">
        <v>14.12</v>
      </c>
      <c r="C73" s="6">
        <f t="shared" si="1"/>
        <v>15.1084</v>
      </c>
      <c r="D73" s="6">
        <f t="shared" si="2"/>
        <v>16.61924</v>
      </c>
      <c r="E73" s="7">
        <v>0.16</v>
      </c>
      <c r="F73" s="8">
        <f t="shared" si="4"/>
        <v>103.87025</v>
      </c>
    </row>
    <row r="74">
      <c r="A74" s="4" t="s">
        <v>142</v>
      </c>
      <c r="B74" s="5">
        <v>18.83</v>
      </c>
      <c r="C74" s="6">
        <f t="shared" si="1"/>
        <v>20.1481</v>
      </c>
      <c r="D74" s="6">
        <f t="shared" si="2"/>
        <v>22.16291</v>
      </c>
      <c r="E74" s="7">
        <v>0.16</v>
      </c>
      <c r="F74" s="8">
        <f t="shared" si="4"/>
        <v>138.5181875</v>
      </c>
    </row>
    <row r="75">
      <c r="A75" s="4" t="s">
        <v>143</v>
      </c>
      <c r="B75" s="5"/>
      <c r="C75" s="6">
        <f t="shared" si="1"/>
        <v>0</v>
      </c>
      <c r="D75" s="6">
        <f t="shared" si="2"/>
        <v>0</v>
      </c>
      <c r="E75" s="7">
        <v>0.16</v>
      </c>
      <c r="F75" s="8">
        <f t="shared" si="4"/>
        <v>0</v>
      </c>
    </row>
    <row r="76">
      <c r="A76" s="4" t="s">
        <v>144</v>
      </c>
      <c r="B76" s="5"/>
      <c r="C76" s="6">
        <f t="shared" si="1"/>
        <v>0</v>
      </c>
      <c r="D76" s="6">
        <f t="shared" si="2"/>
        <v>0</v>
      </c>
      <c r="E76" s="7">
        <v>0.16</v>
      </c>
      <c r="F76" s="8">
        <f t="shared" si="4"/>
        <v>0</v>
      </c>
    </row>
    <row r="77">
      <c r="A77" s="4" t="s">
        <v>187</v>
      </c>
      <c r="B77" s="5"/>
      <c r="C77" s="6">
        <f t="shared" si="1"/>
        <v>0</v>
      </c>
      <c r="D77" s="6">
        <f t="shared" si="2"/>
        <v>0</v>
      </c>
      <c r="E77" s="7">
        <v>0.16</v>
      </c>
      <c r="F77" s="8">
        <f t="shared" si="4"/>
        <v>0</v>
      </c>
    </row>
    <row r="78">
      <c r="A78" s="4" t="s">
        <v>57</v>
      </c>
      <c r="B78" s="5">
        <v>1391.26</v>
      </c>
      <c r="C78" s="6">
        <f t="shared" si="1"/>
        <v>1488.6482</v>
      </c>
      <c r="D78" s="6">
        <f t="shared" si="2"/>
        <v>1637.51302</v>
      </c>
      <c r="E78" s="7">
        <v>25.0</v>
      </c>
      <c r="F78" s="8">
        <f t="shared" si="4"/>
        <v>65.5005208</v>
      </c>
    </row>
    <row r="79">
      <c r="A79" s="4" t="s">
        <v>188</v>
      </c>
      <c r="B79" s="5">
        <v>1133.75</v>
      </c>
      <c r="C79" s="6">
        <f t="shared" si="1"/>
        <v>1213.1125</v>
      </c>
      <c r="D79" s="6">
        <f t="shared" si="2"/>
        <v>1334.42375</v>
      </c>
      <c r="E79" s="7">
        <v>25.0</v>
      </c>
      <c r="F79" s="8">
        <f t="shared" si="4"/>
        <v>53.37695</v>
      </c>
    </row>
    <row r="80">
      <c r="A80" s="4" t="s">
        <v>145</v>
      </c>
      <c r="B80" s="5"/>
      <c r="C80" s="6">
        <f t="shared" si="1"/>
        <v>0</v>
      </c>
      <c r="D80" s="6">
        <f t="shared" si="2"/>
        <v>0</v>
      </c>
      <c r="E80" s="9">
        <v>15.0</v>
      </c>
      <c r="F80" s="8">
        <f t="shared" si="4"/>
        <v>0</v>
      </c>
    </row>
    <row r="81">
      <c r="A81" s="4" t="s">
        <v>205</v>
      </c>
      <c r="B81" s="5">
        <v>116.52</v>
      </c>
      <c r="C81" s="6">
        <f t="shared" si="1"/>
        <v>124.6764</v>
      </c>
      <c r="D81" s="6">
        <f t="shared" si="2"/>
        <v>137.14404</v>
      </c>
      <c r="E81" s="9">
        <v>15.0</v>
      </c>
      <c r="F81" s="8">
        <f t="shared" si="4"/>
        <v>9.142936</v>
      </c>
    </row>
    <row r="82">
      <c r="A82" s="4" t="s">
        <v>206</v>
      </c>
      <c r="B82" s="5">
        <v>157.88</v>
      </c>
      <c r="C82" s="6">
        <f t="shared" si="1"/>
        <v>168.9316</v>
      </c>
      <c r="D82" s="6">
        <f t="shared" si="2"/>
        <v>185.82476</v>
      </c>
      <c r="E82" s="9">
        <v>15.0</v>
      </c>
      <c r="F82" s="8">
        <f t="shared" si="4"/>
        <v>12.38831733</v>
      </c>
    </row>
    <row r="83">
      <c r="A83" s="4" t="s">
        <v>207</v>
      </c>
      <c r="B83" s="5">
        <v>234.89</v>
      </c>
      <c r="C83" s="6">
        <f t="shared" si="1"/>
        <v>251.3323</v>
      </c>
      <c r="D83" s="6">
        <f t="shared" si="2"/>
        <v>276.46553</v>
      </c>
      <c r="E83" s="9">
        <v>15.0</v>
      </c>
      <c r="F83" s="8">
        <f t="shared" si="4"/>
        <v>18.43103533</v>
      </c>
    </row>
    <row r="84">
      <c r="A84" s="4" t="s">
        <v>208</v>
      </c>
      <c r="B84" s="5">
        <v>348.96</v>
      </c>
      <c r="C84" s="6">
        <f t="shared" si="1"/>
        <v>373.3872</v>
      </c>
      <c r="D84" s="6">
        <f t="shared" si="2"/>
        <v>410.72592</v>
      </c>
      <c r="E84" s="9">
        <v>15.0</v>
      </c>
      <c r="F84" s="8">
        <f t="shared" si="4"/>
        <v>27.381728</v>
      </c>
    </row>
    <row r="85">
      <c r="A85" s="4" t="s">
        <v>209</v>
      </c>
      <c r="B85" s="5">
        <v>416.32</v>
      </c>
      <c r="C85" s="6">
        <f t="shared" si="1"/>
        <v>445.4624</v>
      </c>
      <c r="D85" s="6">
        <f t="shared" si="2"/>
        <v>490.00864</v>
      </c>
      <c r="E85" s="9">
        <v>15.0</v>
      </c>
      <c r="F85" s="8">
        <f t="shared" si="4"/>
        <v>32.66724267</v>
      </c>
    </row>
    <row r="86">
      <c r="A86" s="4" t="s">
        <v>210</v>
      </c>
      <c r="B86" s="5">
        <v>269.89</v>
      </c>
      <c r="C86" s="6">
        <f t="shared" si="1"/>
        <v>288.7823</v>
      </c>
      <c r="D86" s="6">
        <f t="shared" si="2"/>
        <v>317.66053</v>
      </c>
      <c r="E86" s="9">
        <v>15.0</v>
      </c>
      <c r="F86" s="8">
        <f t="shared" si="4"/>
        <v>21.17736867</v>
      </c>
    </row>
    <row r="87">
      <c r="A87" s="4" t="s">
        <v>211</v>
      </c>
      <c r="B87" s="5">
        <v>271.84</v>
      </c>
      <c r="C87" s="6">
        <f t="shared" si="1"/>
        <v>290.8688</v>
      </c>
      <c r="D87" s="6">
        <f t="shared" si="2"/>
        <v>319.95568</v>
      </c>
      <c r="E87" s="9">
        <v>15.0</v>
      </c>
      <c r="F87" s="8">
        <f t="shared" si="4"/>
        <v>21.33037867</v>
      </c>
    </row>
    <row r="88">
      <c r="A88" s="4" t="s">
        <v>212</v>
      </c>
      <c r="B88" s="5">
        <v>121.53</v>
      </c>
      <c r="C88" s="6">
        <f t="shared" si="1"/>
        <v>130.0371</v>
      </c>
      <c r="D88" s="6">
        <f t="shared" si="2"/>
        <v>143.04081</v>
      </c>
      <c r="E88" s="9">
        <v>15.0</v>
      </c>
      <c r="F88" s="8">
        <f t="shared" si="4"/>
        <v>9.536054</v>
      </c>
    </row>
    <row r="89">
      <c r="A89" s="4" t="s">
        <v>63</v>
      </c>
      <c r="B89" s="5">
        <v>250.3</v>
      </c>
      <c r="C89" s="6">
        <f t="shared" si="1"/>
        <v>267.821</v>
      </c>
      <c r="D89" s="6">
        <f t="shared" si="2"/>
        <v>294.6031</v>
      </c>
      <c r="E89" s="9">
        <v>15.0</v>
      </c>
      <c r="F89" s="8">
        <f t="shared" si="4"/>
        <v>19.64020667</v>
      </c>
    </row>
    <row r="90">
      <c r="A90" s="4" t="s">
        <v>147</v>
      </c>
      <c r="B90" s="5">
        <v>224.18</v>
      </c>
      <c r="C90" s="6">
        <f t="shared" si="1"/>
        <v>239.8726</v>
      </c>
      <c r="D90" s="6">
        <f t="shared" si="2"/>
        <v>263.85986</v>
      </c>
      <c r="E90" s="9">
        <v>20.0</v>
      </c>
      <c r="F90" s="8">
        <f t="shared" si="4"/>
        <v>13.192993</v>
      </c>
    </row>
    <row r="91">
      <c r="A91" s="4" t="s">
        <v>148</v>
      </c>
      <c r="B91" s="5"/>
      <c r="C91" s="6">
        <f t="shared" si="1"/>
        <v>0</v>
      </c>
      <c r="D91" s="6">
        <f t="shared" si="2"/>
        <v>0</v>
      </c>
      <c r="E91" s="9">
        <v>30.0</v>
      </c>
      <c r="F91" s="8">
        <f t="shared" si="4"/>
        <v>0</v>
      </c>
    </row>
    <row r="92">
      <c r="A92" s="4" t="s">
        <v>151</v>
      </c>
      <c r="B92" s="5"/>
      <c r="C92" s="6">
        <f t="shared" si="1"/>
        <v>0</v>
      </c>
      <c r="D92" s="6">
        <f t="shared" si="2"/>
        <v>0</v>
      </c>
      <c r="E92" s="7">
        <v>10.0</v>
      </c>
      <c r="F92" s="8">
        <f t="shared" si="4"/>
        <v>0</v>
      </c>
    </row>
    <row r="93">
      <c r="A93" s="4" t="s">
        <v>90</v>
      </c>
      <c r="B93" s="5"/>
      <c r="C93" s="6">
        <f t="shared" si="1"/>
        <v>0</v>
      </c>
      <c r="D93" s="6">
        <f t="shared" si="2"/>
        <v>0</v>
      </c>
      <c r="E93" s="7">
        <v>12.0</v>
      </c>
      <c r="F93" s="8">
        <f t="shared" si="4"/>
        <v>0</v>
      </c>
    </row>
    <row r="94">
      <c r="A94" s="4" t="s">
        <v>91</v>
      </c>
      <c r="B94" s="5">
        <v>850.0</v>
      </c>
      <c r="C94" s="6">
        <f t="shared" si="1"/>
        <v>909.5</v>
      </c>
      <c r="D94" s="6">
        <f t="shared" si="2"/>
        <v>1000.45</v>
      </c>
      <c r="E94" s="7">
        <v>10.0</v>
      </c>
      <c r="F94" s="8">
        <f t="shared" si="4"/>
        <v>100.045</v>
      </c>
    </row>
    <row r="95">
      <c r="A95" s="4" t="s">
        <v>92</v>
      </c>
      <c r="B95" s="5">
        <v>510.0</v>
      </c>
      <c r="C95" s="6">
        <f t="shared" si="1"/>
        <v>545.7</v>
      </c>
      <c r="D95" s="6">
        <f t="shared" si="2"/>
        <v>600.27</v>
      </c>
      <c r="E95" s="7">
        <v>5.0</v>
      </c>
      <c r="F95" s="8">
        <f t="shared" si="4"/>
        <v>120.054</v>
      </c>
    </row>
    <row r="96">
      <c r="A96" s="4" t="s">
        <v>93</v>
      </c>
      <c r="B96" s="5">
        <v>463.66</v>
      </c>
      <c r="C96" s="6">
        <f t="shared" si="1"/>
        <v>496.1162</v>
      </c>
      <c r="D96" s="6">
        <f t="shared" si="2"/>
        <v>545.72782</v>
      </c>
      <c r="E96" s="7">
        <v>20.0</v>
      </c>
      <c r="F96" s="8">
        <f t="shared" si="4"/>
        <v>27.286391</v>
      </c>
    </row>
    <row r="97">
      <c r="A97" s="4" t="s">
        <v>94</v>
      </c>
      <c r="B97" s="5">
        <v>192.6</v>
      </c>
      <c r="C97" s="6">
        <f t="shared" si="1"/>
        <v>206.082</v>
      </c>
      <c r="D97" s="6">
        <f t="shared" si="2"/>
        <v>226.6902</v>
      </c>
      <c r="E97" s="9">
        <v>3.0</v>
      </c>
      <c r="F97" s="8">
        <f t="shared" si="4"/>
        <v>75.5634</v>
      </c>
    </row>
    <row r="98">
      <c r="A98" s="4" t="s">
        <v>95</v>
      </c>
      <c r="B98" s="5"/>
      <c r="C98" s="6">
        <f t="shared" si="1"/>
        <v>0</v>
      </c>
      <c r="D98" s="6">
        <f t="shared" si="2"/>
        <v>0</v>
      </c>
      <c r="E98" s="9">
        <v>20.0</v>
      </c>
      <c r="F98" s="8">
        <f t="shared" si="4"/>
        <v>0</v>
      </c>
    </row>
    <row r="99">
      <c r="A99" s="4" t="s">
        <v>96</v>
      </c>
      <c r="B99" s="5"/>
      <c r="C99" s="6">
        <f t="shared" si="1"/>
        <v>0</v>
      </c>
      <c r="D99" s="6">
        <f t="shared" si="2"/>
        <v>0</v>
      </c>
      <c r="E99" s="9">
        <v>20.0</v>
      </c>
      <c r="F99" s="8">
        <f t="shared" si="4"/>
        <v>0</v>
      </c>
    </row>
    <row r="100">
      <c r="A100" s="4" t="s">
        <v>97</v>
      </c>
      <c r="B100" s="5"/>
      <c r="C100" s="6">
        <f t="shared" si="1"/>
        <v>0</v>
      </c>
      <c r="D100" s="6">
        <f t="shared" si="2"/>
        <v>0</v>
      </c>
      <c r="E100" s="10">
        <v>1.0</v>
      </c>
      <c r="F100" s="8">
        <f t="shared" si="4"/>
        <v>0</v>
      </c>
    </row>
    <row r="101">
      <c r="A101" s="4" t="s">
        <v>98</v>
      </c>
      <c r="B101" s="5"/>
      <c r="C101" s="6">
        <f t="shared" si="1"/>
        <v>0</v>
      </c>
      <c r="D101" s="6">
        <f t="shared" si="2"/>
        <v>0</v>
      </c>
      <c r="E101" s="10">
        <v>20.0</v>
      </c>
      <c r="F101" s="8">
        <f t="shared" si="4"/>
        <v>0</v>
      </c>
    </row>
    <row r="102">
      <c r="A102" s="4" t="s">
        <v>99</v>
      </c>
      <c r="B102" s="5"/>
      <c r="C102" s="6">
        <f t="shared" si="1"/>
        <v>0</v>
      </c>
      <c r="D102" s="6">
        <f t="shared" si="2"/>
        <v>0</v>
      </c>
      <c r="E102" s="7">
        <v>7.0</v>
      </c>
      <c r="F102" s="8">
        <f t="shared" si="4"/>
        <v>0</v>
      </c>
    </row>
    <row r="103">
      <c r="A103" s="4" t="s">
        <v>100</v>
      </c>
      <c r="B103" s="5"/>
      <c r="C103" s="6">
        <f t="shared" si="1"/>
        <v>0</v>
      </c>
      <c r="D103" s="6">
        <f t="shared" si="2"/>
        <v>0</v>
      </c>
      <c r="E103" s="10">
        <v>75.0</v>
      </c>
      <c r="F103" s="8">
        <f t="shared" si="4"/>
        <v>0</v>
      </c>
    </row>
    <row r="104">
      <c r="A104" s="4" t="s">
        <v>163</v>
      </c>
      <c r="B104" s="5">
        <v>203.75</v>
      </c>
      <c r="C104" s="6">
        <f t="shared" si="1"/>
        <v>218.0125</v>
      </c>
      <c r="D104" s="6">
        <f t="shared" si="2"/>
        <v>239.81375</v>
      </c>
      <c r="E104" s="7">
        <v>5.0</v>
      </c>
      <c r="F104" s="8">
        <f t="shared" si="4"/>
        <v>47.96275</v>
      </c>
    </row>
    <row r="105">
      <c r="A105" s="4" t="s">
        <v>164</v>
      </c>
      <c r="B105" s="5">
        <v>218.0</v>
      </c>
      <c r="C105" s="6">
        <f t="shared" si="1"/>
        <v>233.26</v>
      </c>
      <c r="D105" s="6">
        <f t="shared" si="2"/>
        <v>256.586</v>
      </c>
      <c r="E105" s="7">
        <v>4.0</v>
      </c>
      <c r="F105" s="8">
        <f t="shared" si="4"/>
        <v>64.1465</v>
      </c>
    </row>
    <row r="106">
      <c r="A106" s="4" t="s">
        <v>165</v>
      </c>
      <c r="B106" s="5">
        <v>228.25</v>
      </c>
      <c r="C106" s="6">
        <f t="shared" si="1"/>
        <v>244.2275</v>
      </c>
      <c r="D106" s="6">
        <f t="shared" si="2"/>
        <v>268.65025</v>
      </c>
      <c r="E106" s="7">
        <v>10.0</v>
      </c>
      <c r="F106" s="8">
        <f t="shared" si="4"/>
        <v>26.865025</v>
      </c>
    </row>
    <row r="107">
      <c r="A107" s="4" t="s">
        <v>168</v>
      </c>
      <c r="B107" s="5">
        <v>194.0</v>
      </c>
      <c r="C107" s="6">
        <f t="shared" si="1"/>
        <v>207.58</v>
      </c>
      <c r="D107" s="6">
        <f t="shared" si="2"/>
        <v>228.338</v>
      </c>
      <c r="E107" s="7">
        <v>3.333</v>
      </c>
      <c r="F107" s="8">
        <f t="shared" si="4"/>
        <v>68.50825083</v>
      </c>
    </row>
    <row r="108">
      <c r="A108" s="4" t="s">
        <v>169</v>
      </c>
      <c r="B108" s="5">
        <v>190.3</v>
      </c>
      <c r="C108" s="6">
        <f t="shared" si="1"/>
        <v>203.621</v>
      </c>
      <c r="D108" s="6">
        <f t="shared" si="2"/>
        <v>223.9831</v>
      </c>
      <c r="E108" s="7">
        <v>3.0</v>
      </c>
      <c r="F108" s="8">
        <f t="shared" si="4"/>
        <v>74.66103333</v>
      </c>
    </row>
    <row r="109">
      <c r="A109" s="4" t="s">
        <v>170</v>
      </c>
      <c r="B109" s="5">
        <v>49.0</v>
      </c>
      <c r="C109" s="6">
        <f t="shared" si="1"/>
        <v>52.43</v>
      </c>
      <c r="D109" s="6">
        <f t="shared" si="2"/>
        <v>57.673</v>
      </c>
      <c r="E109" s="7">
        <v>25.0</v>
      </c>
      <c r="F109" s="8">
        <f t="shared" si="4"/>
        <v>2.30692</v>
      </c>
    </row>
    <row r="110">
      <c r="A110" s="4" t="s">
        <v>88</v>
      </c>
      <c r="B110" s="5">
        <v>1122.98</v>
      </c>
      <c r="C110" s="6">
        <f t="shared" si="1"/>
        <v>1201.5886</v>
      </c>
      <c r="D110" s="6">
        <f t="shared" si="2"/>
        <v>1321.74746</v>
      </c>
      <c r="E110" s="7">
        <v>32.47</v>
      </c>
      <c r="F110" s="8">
        <f t="shared" si="4"/>
        <v>40.70672806</v>
      </c>
    </row>
    <row r="111">
      <c r="A111" s="4" t="s">
        <v>213</v>
      </c>
      <c r="B111" s="5">
        <v>224.0</v>
      </c>
      <c r="C111" s="6">
        <f t="shared" si="1"/>
        <v>239.68</v>
      </c>
      <c r="D111" s="6">
        <f t="shared" si="2"/>
        <v>263.648</v>
      </c>
      <c r="E111" s="7">
        <v>5.0</v>
      </c>
      <c r="F111" s="8">
        <f t="shared" si="4"/>
        <v>52.7296</v>
      </c>
    </row>
    <row r="112">
      <c r="A112" s="20" t="s">
        <v>171</v>
      </c>
      <c r="B112" s="34"/>
      <c r="C112" s="22">
        <f t="shared" si="1"/>
        <v>0</v>
      </c>
      <c r="D112" s="22">
        <f t="shared" si="2"/>
        <v>0</v>
      </c>
      <c r="E112" s="23">
        <v>15.0</v>
      </c>
      <c r="F112" s="24">
        <f t="shared" si="4"/>
        <v>0</v>
      </c>
    </row>
    <row r="113">
      <c r="A113" s="4" t="s">
        <v>214</v>
      </c>
      <c r="B113" s="5">
        <v>25.85</v>
      </c>
      <c r="C113" s="6">
        <f t="shared" si="1"/>
        <v>27.6595</v>
      </c>
      <c r="D113" s="6">
        <f t="shared" si="2"/>
        <v>30.42545</v>
      </c>
      <c r="E113" s="7">
        <v>4.5</v>
      </c>
      <c r="F113" s="8">
        <f t="shared" si="4"/>
        <v>6.761211111</v>
      </c>
    </row>
    <row r="114">
      <c r="A114" s="4" t="s">
        <v>215</v>
      </c>
      <c r="B114" s="5">
        <v>8.35</v>
      </c>
      <c r="C114" s="6">
        <f t="shared" si="1"/>
        <v>8.9345</v>
      </c>
      <c r="D114" s="6">
        <f t="shared" si="2"/>
        <v>9.82795</v>
      </c>
      <c r="E114" s="7">
        <v>0.16</v>
      </c>
      <c r="F114" s="8">
        <f t="shared" si="4"/>
        <v>61.4246875</v>
      </c>
    </row>
    <row r="115">
      <c r="A115" s="4" t="s">
        <v>216</v>
      </c>
      <c r="B115" s="5">
        <v>13.91</v>
      </c>
      <c r="C115" s="6">
        <f t="shared" si="1"/>
        <v>14.8837</v>
      </c>
      <c r="D115" s="6">
        <f t="shared" si="2"/>
        <v>16.37207</v>
      </c>
      <c r="E115" s="7">
        <v>0.16</v>
      </c>
      <c r="F115" s="8">
        <f t="shared" si="4"/>
        <v>102.3254375</v>
      </c>
    </row>
    <row r="116">
      <c r="A116" s="4" t="s">
        <v>217</v>
      </c>
      <c r="B116" s="5">
        <v>19.47</v>
      </c>
      <c r="C116" s="6">
        <f t="shared" si="1"/>
        <v>20.8329</v>
      </c>
      <c r="D116" s="6">
        <f t="shared" si="2"/>
        <v>22.91619</v>
      </c>
      <c r="E116" s="7">
        <v>0.16</v>
      </c>
      <c r="F116" s="8">
        <f t="shared" si="4"/>
        <v>143.2261875</v>
      </c>
    </row>
    <row r="117">
      <c r="A117" s="4" t="s">
        <v>218</v>
      </c>
      <c r="B117" s="5">
        <v>25.04</v>
      </c>
      <c r="C117" s="6">
        <f t="shared" si="1"/>
        <v>26.7928</v>
      </c>
      <c r="D117" s="6">
        <f t="shared" si="2"/>
        <v>29.47208</v>
      </c>
      <c r="E117" s="7">
        <v>0.16</v>
      </c>
      <c r="F117" s="8">
        <f t="shared" si="4"/>
        <v>184.2005</v>
      </c>
    </row>
    <row r="118">
      <c r="A118" s="4" t="s">
        <v>219</v>
      </c>
      <c r="B118" s="5">
        <v>11.13</v>
      </c>
      <c r="C118" s="6">
        <f t="shared" si="1"/>
        <v>11.9091</v>
      </c>
      <c r="D118" s="6">
        <f t="shared" si="2"/>
        <v>13.10001</v>
      </c>
      <c r="E118" s="7">
        <v>0.16</v>
      </c>
      <c r="F118" s="8">
        <f t="shared" si="4"/>
        <v>81.8750625</v>
      </c>
    </row>
    <row r="119">
      <c r="A119" s="4" t="s">
        <v>220</v>
      </c>
      <c r="B119" s="5">
        <v>22.26</v>
      </c>
      <c r="C119" s="6">
        <f t="shared" si="1"/>
        <v>23.8182</v>
      </c>
      <c r="D119" s="6">
        <f t="shared" si="2"/>
        <v>26.20002</v>
      </c>
      <c r="E119" s="7">
        <v>0.16</v>
      </c>
      <c r="F119" s="8">
        <f t="shared" si="4"/>
        <v>163.750125</v>
      </c>
    </row>
    <row r="120">
      <c r="A120" s="4" t="s">
        <v>221</v>
      </c>
      <c r="B120" s="5">
        <v>16.69</v>
      </c>
      <c r="C120" s="6">
        <f t="shared" si="1"/>
        <v>17.8583</v>
      </c>
      <c r="D120" s="6">
        <f t="shared" si="2"/>
        <v>19.64413</v>
      </c>
      <c r="E120" s="7">
        <v>0.16</v>
      </c>
      <c r="F120" s="8">
        <f t="shared" si="4"/>
        <v>122.7758125</v>
      </c>
    </row>
    <row r="121">
      <c r="A121" s="4" t="s">
        <v>222</v>
      </c>
      <c r="B121" s="11">
        <v>16.0</v>
      </c>
      <c r="C121" s="6">
        <f t="shared" si="1"/>
        <v>17.12</v>
      </c>
      <c r="D121" s="6">
        <f t="shared" si="2"/>
        <v>18.832</v>
      </c>
      <c r="E121" s="7">
        <v>0.16</v>
      </c>
      <c r="F121" s="8">
        <f t="shared" si="4"/>
        <v>117.7</v>
      </c>
    </row>
    <row r="122">
      <c r="A122" s="4"/>
      <c r="B122" s="11"/>
      <c r="C122" s="6"/>
      <c r="D122" s="6"/>
      <c r="E122" s="7"/>
      <c r="F122" s="8"/>
    </row>
    <row r="123">
      <c r="A123" s="4"/>
      <c r="B123" s="11"/>
      <c r="C123" s="6"/>
      <c r="D123" s="6"/>
      <c r="E123" s="7"/>
      <c r="F123" s="8"/>
    </row>
  </sheetData>
  <mergeCells count="1">
    <mergeCell ref="I1:S8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6" max="6" width="16.0"/>
  </cols>
  <sheetData>
    <row r="1">
      <c r="A1" s="1" t="s">
        <v>223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67.99</v>
      </c>
      <c r="C2" s="6">
        <f t="shared" ref="C2:C119" si="1">B2*1.07</f>
        <v>72.7493</v>
      </c>
      <c r="D2" s="6">
        <f t="shared" ref="D2:D119" si="2">C2*1.1</f>
        <v>80.02423</v>
      </c>
      <c r="E2" s="7">
        <v>12.5</v>
      </c>
      <c r="F2" s="8">
        <f t="shared" ref="F2:F119" si="3">D2/E2</f>
        <v>6.4019384</v>
      </c>
    </row>
    <row r="3">
      <c r="A3" s="4" t="s">
        <v>126</v>
      </c>
      <c r="B3" s="5">
        <v>77.99</v>
      </c>
      <c r="C3" s="6">
        <f t="shared" si="1"/>
        <v>83.4493</v>
      </c>
      <c r="D3" s="6">
        <f t="shared" si="2"/>
        <v>91.79423</v>
      </c>
      <c r="E3" s="7">
        <v>50.0</v>
      </c>
      <c r="F3" s="8">
        <f t="shared" si="3"/>
        <v>1.8358846</v>
      </c>
    </row>
    <row r="4">
      <c r="A4" s="4" t="s">
        <v>7</v>
      </c>
      <c r="B4" s="5">
        <v>95.0</v>
      </c>
      <c r="C4" s="6">
        <f t="shared" si="1"/>
        <v>101.65</v>
      </c>
      <c r="D4" s="6">
        <f t="shared" si="2"/>
        <v>111.815</v>
      </c>
      <c r="E4" s="7">
        <v>20.0</v>
      </c>
      <c r="F4" s="8">
        <f t="shared" si="3"/>
        <v>5.59075</v>
      </c>
    </row>
    <row r="5">
      <c r="A5" s="4" t="s">
        <v>8</v>
      </c>
      <c r="B5" s="5">
        <v>40.0</v>
      </c>
      <c r="C5" s="6">
        <f t="shared" si="1"/>
        <v>42.8</v>
      </c>
      <c r="D5" s="6">
        <f t="shared" si="2"/>
        <v>47.08</v>
      </c>
      <c r="E5" s="7">
        <v>0.32</v>
      </c>
      <c r="F5" s="8">
        <f t="shared" si="3"/>
        <v>147.125</v>
      </c>
    </row>
    <row r="6">
      <c r="A6" s="4" t="s">
        <v>127</v>
      </c>
      <c r="B6" s="5">
        <v>10.5</v>
      </c>
      <c r="C6" s="6">
        <f t="shared" si="1"/>
        <v>11.235</v>
      </c>
      <c r="D6" s="6">
        <f t="shared" si="2"/>
        <v>12.3585</v>
      </c>
      <c r="E6" s="7">
        <v>0.06</v>
      </c>
      <c r="F6" s="8">
        <f t="shared" si="3"/>
        <v>205.975</v>
      </c>
    </row>
    <row r="7">
      <c r="A7" s="4" t="s">
        <v>128</v>
      </c>
      <c r="B7" s="5">
        <v>14.0</v>
      </c>
      <c r="C7" s="6">
        <f t="shared" si="1"/>
        <v>14.98</v>
      </c>
      <c r="D7" s="6">
        <f t="shared" si="2"/>
        <v>16.478</v>
      </c>
      <c r="E7" s="7">
        <v>0.08</v>
      </c>
      <c r="F7" s="8">
        <f t="shared" si="3"/>
        <v>205.975</v>
      </c>
    </row>
    <row r="8">
      <c r="A8" s="4" t="s">
        <v>129</v>
      </c>
      <c r="B8" s="5" t="s">
        <v>102</v>
      </c>
      <c r="C8" s="6" t="str">
        <f t="shared" si="1"/>
        <v>#VALUE!</v>
      </c>
      <c r="D8" s="6" t="str">
        <f t="shared" si="2"/>
        <v>#VALUE!</v>
      </c>
      <c r="E8" s="7">
        <v>0.08</v>
      </c>
      <c r="F8" s="8" t="str">
        <f t="shared" si="3"/>
        <v>#VALUE!</v>
      </c>
    </row>
    <row r="9">
      <c r="A9" s="4" t="s">
        <v>130</v>
      </c>
      <c r="B9" s="5" t="s">
        <v>102</v>
      </c>
      <c r="C9" s="6" t="str">
        <f t="shared" si="1"/>
        <v>#VALUE!</v>
      </c>
      <c r="D9" s="6" t="str">
        <f t="shared" si="2"/>
        <v>#VALUE!</v>
      </c>
      <c r="E9" s="7">
        <v>0.08</v>
      </c>
      <c r="F9" s="8" t="str">
        <f t="shared" si="3"/>
        <v>#VALUE!</v>
      </c>
    </row>
    <row r="10">
      <c r="A10" s="4" t="s">
        <v>11</v>
      </c>
      <c r="B10" s="5" t="s">
        <v>102</v>
      </c>
      <c r="C10" s="6" t="str">
        <f t="shared" si="1"/>
        <v>#VALUE!</v>
      </c>
      <c r="D10" s="6" t="str">
        <f t="shared" si="2"/>
        <v>#VALUE!</v>
      </c>
      <c r="E10" s="7">
        <v>1.0</v>
      </c>
      <c r="F10" s="8" t="str">
        <f t="shared" si="3"/>
        <v>#VALUE!</v>
      </c>
    </row>
    <row r="11">
      <c r="A11" s="4" t="s">
        <v>12</v>
      </c>
      <c r="B11" s="5" t="s">
        <v>102</v>
      </c>
      <c r="C11" s="6" t="str">
        <f t="shared" si="1"/>
        <v>#VALUE!</v>
      </c>
      <c r="D11" s="6" t="str">
        <f t="shared" si="2"/>
        <v>#VALUE!</v>
      </c>
      <c r="E11" s="7">
        <v>1.0</v>
      </c>
      <c r="F11" s="8" t="str">
        <f t="shared" si="3"/>
        <v>#VALUE!</v>
      </c>
    </row>
    <row r="12">
      <c r="A12" s="4" t="s">
        <v>13</v>
      </c>
      <c r="B12" s="5">
        <v>14.0</v>
      </c>
      <c r="C12" s="6">
        <f t="shared" si="1"/>
        <v>14.98</v>
      </c>
      <c r="D12" s="6">
        <f t="shared" si="2"/>
        <v>16.478</v>
      </c>
      <c r="E12" s="7">
        <v>1.0</v>
      </c>
      <c r="F12" s="8">
        <f t="shared" si="3"/>
        <v>16.478</v>
      </c>
    </row>
    <row r="13">
      <c r="A13" s="4" t="s">
        <v>131</v>
      </c>
      <c r="B13" s="5">
        <v>12.0</v>
      </c>
      <c r="C13" s="6">
        <f t="shared" si="1"/>
        <v>12.84</v>
      </c>
      <c r="D13" s="6">
        <f t="shared" si="2"/>
        <v>14.124</v>
      </c>
      <c r="E13" s="7">
        <v>4.0</v>
      </c>
      <c r="F13" s="8">
        <f t="shared" si="3"/>
        <v>3.531</v>
      </c>
    </row>
    <row r="14">
      <c r="A14" s="4" t="s">
        <v>40</v>
      </c>
      <c r="B14" s="5">
        <v>16.0</v>
      </c>
      <c r="C14" s="6">
        <f t="shared" si="1"/>
        <v>17.12</v>
      </c>
      <c r="D14" s="6">
        <f t="shared" si="2"/>
        <v>18.832</v>
      </c>
      <c r="E14" s="7">
        <v>4.0</v>
      </c>
      <c r="F14" s="8">
        <f t="shared" si="3"/>
        <v>4.708</v>
      </c>
    </row>
    <row r="15">
      <c r="A15" s="4" t="s">
        <v>107</v>
      </c>
      <c r="B15" s="5">
        <v>20.5</v>
      </c>
      <c r="C15" s="6">
        <f t="shared" si="1"/>
        <v>21.935</v>
      </c>
      <c r="D15" s="6">
        <f t="shared" si="2"/>
        <v>24.1285</v>
      </c>
      <c r="E15" s="7">
        <v>4.0</v>
      </c>
      <c r="F15" s="8">
        <f t="shared" si="3"/>
        <v>6.032125</v>
      </c>
    </row>
    <row r="16">
      <c r="A16" s="4" t="s">
        <v>108</v>
      </c>
      <c r="B16" s="5">
        <v>28.5</v>
      </c>
      <c r="C16" s="6">
        <f t="shared" si="1"/>
        <v>30.495</v>
      </c>
      <c r="D16" s="6">
        <f t="shared" si="2"/>
        <v>33.5445</v>
      </c>
      <c r="E16" s="7">
        <v>4.0</v>
      </c>
      <c r="F16" s="8">
        <f t="shared" si="3"/>
        <v>8.386125</v>
      </c>
    </row>
    <row r="17">
      <c r="A17" s="4" t="s">
        <v>132</v>
      </c>
      <c r="B17" s="5">
        <v>37.0</v>
      </c>
      <c r="C17" s="6">
        <f t="shared" si="1"/>
        <v>39.59</v>
      </c>
      <c r="D17" s="6">
        <f t="shared" si="2"/>
        <v>43.549</v>
      </c>
      <c r="E17" s="7">
        <v>4.0</v>
      </c>
      <c r="F17" s="8">
        <f t="shared" si="3"/>
        <v>10.88725</v>
      </c>
    </row>
    <row r="18">
      <c r="A18" s="4" t="s">
        <v>41</v>
      </c>
      <c r="B18" s="5">
        <v>46.0</v>
      </c>
      <c r="C18" s="6">
        <f t="shared" si="1"/>
        <v>49.22</v>
      </c>
      <c r="D18" s="6">
        <f t="shared" si="2"/>
        <v>54.142</v>
      </c>
      <c r="E18" s="7">
        <v>4.0</v>
      </c>
      <c r="F18" s="8">
        <f t="shared" si="3"/>
        <v>13.5355</v>
      </c>
    </row>
    <row r="19">
      <c r="A19" s="4" t="s">
        <v>14</v>
      </c>
      <c r="B19" s="5">
        <v>9.0</v>
      </c>
      <c r="C19" s="6">
        <f t="shared" si="1"/>
        <v>9.63</v>
      </c>
      <c r="D19" s="6">
        <f t="shared" si="2"/>
        <v>10.593</v>
      </c>
      <c r="E19" s="7">
        <v>1.0</v>
      </c>
      <c r="F19" s="8">
        <f t="shared" si="3"/>
        <v>10.593</v>
      </c>
    </row>
    <row r="20">
      <c r="A20" s="4" t="s">
        <v>15</v>
      </c>
      <c r="B20" s="5">
        <v>9.25</v>
      </c>
      <c r="C20" s="6">
        <f t="shared" si="1"/>
        <v>9.8975</v>
      </c>
      <c r="D20" s="6">
        <f t="shared" si="2"/>
        <v>10.88725</v>
      </c>
      <c r="E20" s="7">
        <v>1.0</v>
      </c>
      <c r="F20" s="8">
        <f t="shared" si="3"/>
        <v>10.88725</v>
      </c>
    </row>
    <row r="21">
      <c r="A21" s="4" t="s">
        <v>16</v>
      </c>
      <c r="B21" s="5" t="s">
        <v>102</v>
      </c>
      <c r="C21" s="6" t="str">
        <f t="shared" si="1"/>
        <v>#VALUE!</v>
      </c>
      <c r="D21" s="6" t="str">
        <f t="shared" si="2"/>
        <v>#VALUE!</v>
      </c>
      <c r="E21" s="7">
        <v>1.0</v>
      </c>
      <c r="F21" s="8" t="str">
        <f t="shared" si="3"/>
        <v>#VALUE!</v>
      </c>
    </row>
    <row r="22">
      <c r="A22" s="4" t="s">
        <v>19</v>
      </c>
      <c r="B22" s="5">
        <v>21.5</v>
      </c>
      <c r="C22" s="6">
        <f t="shared" si="1"/>
        <v>23.005</v>
      </c>
      <c r="D22" s="6">
        <f t="shared" si="2"/>
        <v>25.3055</v>
      </c>
      <c r="E22" s="7">
        <v>1.0</v>
      </c>
      <c r="F22" s="8">
        <f t="shared" si="3"/>
        <v>25.3055</v>
      </c>
    </row>
    <row r="23">
      <c r="A23" s="4" t="s">
        <v>103</v>
      </c>
      <c r="B23" s="5" t="s">
        <v>102</v>
      </c>
      <c r="C23" s="6" t="str">
        <f t="shared" si="1"/>
        <v>#VALUE!</v>
      </c>
      <c r="D23" s="6" t="str">
        <f t="shared" si="2"/>
        <v>#VALUE!</v>
      </c>
      <c r="E23" s="7">
        <v>1.0</v>
      </c>
      <c r="F23" s="8" t="str">
        <f t="shared" si="3"/>
        <v>#VALUE!</v>
      </c>
    </row>
    <row r="24">
      <c r="A24" s="4" t="s">
        <v>26</v>
      </c>
      <c r="B24" s="5">
        <v>76.5</v>
      </c>
      <c r="C24" s="6">
        <f t="shared" si="1"/>
        <v>81.855</v>
      </c>
      <c r="D24" s="6">
        <f t="shared" si="2"/>
        <v>90.0405</v>
      </c>
      <c r="E24" s="7">
        <v>10.0</v>
      </c>
      <c r="F24" s="8">
        <f t="shared" si="3"/>
        <v>9.00405</v>
      </c>
    </row>
    <row r="25">
      <c r="A25" s="4" t="s">
        <v>133</v>
      </c>
      <c r="B25" s="5" t="s">
        <v>102</v>
      </c>
      <c r="C25" s="6" t="str">
        <f t="shared" si="1"/>
        <v>#VALUE!</v>
      </c>
      <c r="D25" s="6" t="str">
        <f t="shared" si="2"/>
        <v>#VALUE!</v>
      </c>
      <c r="E25" s="7">
        <v>10.0</v>
      </c>
      <c r="F25" s="8" t="str">
        <f t="shared" si="3"/>
        <v>#VALUE!</v>
      </c>
    </row>
    <row r="26">
      <c r="A26" s="4" t="s">
        <v>27</v>
      </c>
      <c r="B26" s="5">
        <v>9.5</v>
      </c>
      <c r="C26" s="6">
        <f t="shared" si="1"/>
        <v>10.165</v>
      </c>
      <c r="D26" s="6">
        <f t="shared" si="2"/>
        <v>11.1815</v>
      </c>
      <c r="E26" s="7">
        <v>1.0</v>
      </c>
      <c r="F26" s="8">
        <f t="shared" si="3"/>
        <v>11.1815</v>
      </c>
    </row>
    <row r="27">
      <c r="A27" s="4" t="s">
        <v>28</v>
      </c>
      <c r="B27" s="5" t="s">
        <v>102</v>
      </c>
      <c r="C27" s="6" t="str">
        <f t="shared" si="1"/>
        <v>#VALUE!</v>
      </c>
      <c r="D27" s="6" t="str">
        <f t="shared" si="2"/>
        <v>#VALUE!</v>
      </c>
      <c r="E27" s="7">
        <v>1.0</v>
      </c>
      <c r="F27" s="8" t="str">
        <f t="shared" si="3"/>
        <v>#VALUE!</v>
      </c>
    </row>
    <row r="28">
      <c r="A28" s="4" t="s">
        <v>20</v>
      </c>
      <c r="B28" s="5">
        <v>43.99</v>
      </c>
      <c r="C28" s="6">
        <f t="shared" si="1"/>
        <v>47.0693</v>
      </c>
      <c r="D28" s="6">
        <f t="shared" si="2"/>
        <v>51.77623</v>
      </c>
      <c r="E28" s="7">
        <v>2.0</v>
      </c>
      <c r="F28" s="8">
        <f t="shared" si="3"/>
        <v>25.888115</v>
      </c>
    </row>
    <row r="29">
      <c r="A29" s="4" t="s">
        <v>21</v>
      </c>
      <c r="B29" s="5">
        <v>34.75</v>
      </c>
      <c r="C29" s="6">
        <f t="shared" si="1"/>
        <v>37.1825</v>
      </c>
      <c r="D29" s="6">
        <f t="shared" si="2"/>
        <v>40.90075</v>
      </c>
      <c r="E29" s="7">
        <v>2.0</v>
      </c>
      <c r="F29" s="8">
        <f t="shared" si="3"/>
        <v>20.450375</v>
      </c>
    </row>
    <row r="30">
      <c r="A30" s="4" t="s">
        <v>22</v>
      </c>
      <c r="B30" s="5">
        <v>32.0</v>
      </c>
      <c r="C30" s="6">
        <f t="shared" si="1"/>
        <v>34.24</v>
      </c>
      <c r="D30" s="6">
        <f t="shared" si="2"/>
        <v>37.664</v>
      </c>
      <c r="E30" s="7">
        <v>2.0</v>
      </c>
      <c r="F30" s="8">
        <f t="shared" si="3"/>
        <v>18.832</v>
      </c>
    </row>
    <row r="31">
      <c r="A31" s="4" t="s">
        <v>172</v>
      </c>
      <c r="B31" s="5">
        <v>78.0</v>
      </c>
      <c r="C31" s="6">
        <f t="shared" si="1"/>
        <v>83.46</v>
      </c>
      <c r="D31" s="6">
        <f t="shared" si="2"/>
        <v>91.806</v>
      </c>
      <c r="E31" s="7">
        <v>2.0</v>
      </c>
      <c r="F31" s="8">
        <f t="shared" si="3"/>
        <v>45.903</v>
      </c>
    </row>
    <row r="32">
      <c r="A32" s="4" t="s">
        <v>122</v>
      </c>
      <c r="B32" s="5">
        <v>105.0</v>
      </c>
      <c r="C32" s="6">
        <f t="shared" si="1"/>
        <v>112.35</v>
      </c>
      <c r="D32" s="6">
        <f t="shared" si="2"/>
        <v>123.585</v>
      </c>
      <c r="E32" s="7">
        <v>2.0</v>
      </c>
      <c r="F32" s="8">
        <f t="shared" si="3"/>
        <v>61.7925</v>
      </c>
    </row>
    <row r="33">
      <c r="A33" s="4" t="s">
        <v>123</v>
      </c>
      <c r="B33" s="5">
        <v>96.5</v>
      </c>
      <c r="C33" s="6">
        <f t="shared" si="1"/>
        <v>103.255</v>
      </c>
      <c r="D33" s="6">
        <f t="shared" si="2"/>
        <v>113.5805</v>
      </c>
      <c r="E33" s="7">
        <v>2.0</v>
      </c>
      <c r="F33" s="8">
        <f t="shared" si="3"/>
        <v>56.79025</v>
      </c>
    </row>
    <row r="34">
      <c r="A34" s="4" t="s">
        <v>134</v>
      </c>
      <c r="B34" s="5">
        <v>69.0</v>
      </c>
      <c r="C34" s="6">
        <f t="shared" si="1"/>
        <v>73.83</v>
      </c>
      <c r="D34" s="6">
        <f t="shared" si="2"/>
        <v>81.213</v>
      </c>
      <c r="E34" s="7">
        <v>2.0</v>
      </c>
      <c r="F34" s="8">
        <f t="shared" si="3"/>
        <v>40.6065</v>
      </c>
    </row>
    <row r="35">
      <c r="A35" s="4" t="s">
        <v>124</v>
      </c>
      <c r="B35" s="5">
        <v>104.99</v>
      </c>
      <c r="C35" s="6">
        <f t="shared" si="1"/>
        <v>112.3393</v>
      </c>
      <c r="D35" s="6">
        <f t="shared" si="2"/>
        <v>123.57323</v>
      </c>
      <c r="E35" s="7">
        <v>2.0</v>
      </c>
      <c r="F35" s="8">
        <f t="shared" si="3"/>
        <v>61.786615</v>
      </c>
    </row>
    <row r="36">
      <c r="A36" s="4" t="s">
        <v>125</v>
      </c>
      <c r="B36" s="5">
        <v>123.8</v>
      </c>
      <c r="C36" s="6">
        <f t="shared" si="1"/>
        <v>132.466</v>
      </c>
      <c r="D36" s="6">
        <f t="shared" si="2"/>
        <v>145.7126</v>
      </c>
      <c r="E36" s="7">
        <v>1.5</v>
      </c>
      <c r="F36" s="8">
        <f t="shared" si="3"/>
        <v>97.14173333</v>
      </c>
    </row>
    <row r="37">
      <c r="A37" s="4" t="s">
        <v>39</v>
      </c>
      <c r="B37" s="5">
        <v>169.5</v>
      </c>
      <c r="C37" s="6">
        <f t="shared" si="1"/>
        <v>181.365</v>
      </c>
      <c r="D37" s="6">
        <f t="shared" si="2"/>
        <v>199.5015</v>
      </c>
      <c r="E37" s="7">
        <v>3.5</v>
      </c>
      <c r="F37" s="8">
        <f t="shared" si="3"/>
        <v>57.00042857</v>
      </c>
    </row>
    <row r="38">
      <c r="A38" s="4" t="s">
        <v>42</v>
      </c>
      <c r="B38" s="5">
        <v>51.99</v>
      </c>
      <c r="C38" s="6">
        <f t="shared" si="1"/>
        <v>55.6293</v>
      </c>
      <c r="D38" s="6">
        <f t="shared" si="2"/>
        <v>61.19223</v>
      </c>
      <c r="E38" s="7">
        <v>5.0</v>
      </c>
      <c r="F38" s="8">
        <f t="shared" si="3"/>
        <v>12.238446</v>
      </c>
    </row>
    <row r="39">
      <c r="A39" s="4" t="s">
        <v>29</v>
      </c>
      <c r="B39" s="5">
        <v>38.0</v>
      </c>
      <c r="C39" s="6">
        <f t="shared" si="1"/>
        <v>40.66</v>
      </c>
      <c r="D39" s="6">
        <f t="shared" si="2"/>
        <v>44.726</v>
      </c>
      <c r="E39" s="7">
        <v>7.0</v>
      </c>
      <c r="F39" s="8">
        <f t="shared" si="3"/>
        <v>6.389428571</v>
      </c>
    </row>
    <row r="40">
      <c r="A40" s="4" t="s">
        <v>105</v>
      </c>
      <c r="B40" s="5">
        <v>41.99</v>
      </c>
      <c r="C40" s="6">
        <f t="shared" si="1"/>
        <v>44.9293</v>
      </c>
      <c r="D40" s="6">
        <f t="shared" si="2"/>
        <v>49.42223</v>
      </c>
      <c r="E40" s="7">
        <v>5.0</v>
      </c>
      <c r="F40" s="8">
        <f t="shared" si="3"/>
        <v>9.884446</v>
      </c>
    </row>
    <row r="41">
      <c r="A41" s="4" t="s">
        <v>31</v>
      </c>
      <c r="B41" s="5">
        <v>151.99</v>
      </c>
      <c r="C41" s="6">
        <f t="shared" si="1"/>
        <v>162.6293</v>
      </c>
      <c r="D41" s="6">
        <f t="shared" si="2"/>
        <v>178.89223</v>
      </c>
      <c r="E41" s="7">
        <v>2.5</v>
      </c>
      <c r="F41" s="8">
        <f t="shared" si="3"/>
        <v>71.556892</v>
      </c>
    </row>
    <row r="42">
      <c r="A42" s="4" t="s">
        <v>33</v>
      </c>
      <c r="B42" s="5">
        <v>17.5</v>
      </c>
      <c r="C42" s="6">
        <f t="shared" si="1"/>
        <v>18.725</v>
      </c>
      <c r="D42" s="6">
        <f t="shared" si="2"/>
        <v>20.5975</v>
      </c>
      <c r="E42" s="7">
        <v>1.25</v>
      </c>
      <c r="F42" s="8">
        <f t="shared" si="3"/>
        <v>16.478</v>
      </c>
    </row>
    <row r="43">
      <c r="A43" s="4" t="s">
        <v>34</v>
      </c>
      <c r="B43" s="5">
        <v>19.25</v>
      </c>
      <c r="C43" s="6">
        <f t="shared" si="1"/>
        <v>20.5975</v>
      </c>
      <c r="D43" s="6">
        <f t="shared" si="2"/>
        <v>22.65725</v>
      </c>
      <c r="E43" s="7">
        <v>1.25</v>
      </c>
      <c r="F43" s="8">
        <f t="shared" si="3"/>
        <v>18.1258</v>
      </c>
    </row>
    <row r="44">
      <c r="A44" s="4" t="s">
        <v>35</v>
      </c>
      <c r="B44" s="5">
        <v>19.95</v>
      </c>
      <c r="C44" s="6">
        <f t="shared" si="1"/>
        <v>21.3465</v>
      </c>
      <c r="D44" s="6">
        <f t="shared" si="2"/>
        <v>23.48115</v>
      </c>
      <c r="E44" s="7">
        <v>1.25</v>
      </c>
      <c r="F44" s="8">
        <f t="shared" si="3"/>
        <v>18.78492</v>
      </c>
    </row>
    <row r="45">
      <c r="A45" s="4" t="s">
        <v>36</v>
      </c>
      <c r="B45" s="5">
        <v>27.99</v>
      </c>
      <c r="C45" s="6">
        <f t="shared" si="1"/>
        <v>29.9493</v>
      </c>
      <c r="D45" s="6">
        <f t="shared" si="2"/>
        <v>32.94423</v>
      </c>
      <c r="E45" s="7">
        <v>0.333</v>
      </c>
      <c r="F45" s="8">
        <f t="shared" si="3"/>
        <v>98.93162162</v>
      </c>
    </row>
    <row r="46">
      <c r="A46" s="4" t="s">
        <v>135</v>
      </c>
      <c r="B46" s="5">
        <v>50.0</v>
      </c>
      <c r="C46" s="6">
        <f t="shared" si="1"/>
        <v>53.5</v>
      </c>
      <c r="D46" s="6">
        <f t="shared" si="2"/>
        <v>58.85</v>
      </c>
      <c r="E46" s="7">
        <v>20.0</v>
      </c>
      <c r="F46" s="8">
        <f t="shared" si="3"/>
        <v>2.9425</v>
      </c>
    </row>
    <row r="47">
      <c r="A47" s="4" t="s">
        <v>136</v>
      </c>
      <c r="B47" s="5">
        <v>64.0</v>
      </c>
      <c r="C47" s="6">
        <f t="shared" si="1"/>
        <v>68.48</v>
      </c>
      <c r="D47" s="6">
        <f t="shared" si="2"/>
        <v>75.328</v>
      </c>
      <c r="E47" s="7">
        <v>3.0</v>
      </c>
      <c r="F47" s="8">
        <f t="shared" si="3"/>
        <v>25.10933333</v>
      </c>
    </row>
    <row r="48">
      <c r="A48" s="4" t="s">
        <v>106</v>
      </c>
      <c r="B48" s="5">
        <v>34.0</v>
      </c>
      <c r="C48" s="6">
        <f t="shared" si="1"/>
        <v>36.38</v>
      </c>
      <c r="D48" s="6">
        <f t="shared" si="2"/>
        <v>40.018</v>
      </c>
      <c r="E48" s="7">
        <v>0.333</v>
      </c>
      <c r="F48" s="8">
        <f t="shared" si="3"/>
        <v>120.1741742</v>
      </c>
    </row>
    <row r="49">
      <c r="A49" s="4" t="s">
        <v>38</v>
      </c>
      <c r="B49" s="5">
        <v>38.33</v>
      </c>
      <c r="C49" s="6">
        <f t="shared" si="1"/>
        <v>41.0131</v>
      </c>
      <c r="D49" s="6">
        <f t="shared" si="2"/>
        <v>45.11441</v>
      </c>
      <c r="E49" s="7">
        <v>0.333</v>
      </c>
      <c r="F49" s="8">
        <f t="shared" si="3"/>
        <v>135.4787087</v>
      </c>
    </row>
    <row r="50">
      <c r="A50" s="4" t="s">
        <v>137</v>
      </c>
      <c r="B50" s="5">
        <v>110.26</v>
      </c>
      <c r="C50" s="6">
        <f t="shared" si="1"/>
        <v>117.9782</v>
      </c>
      <c r="D50" s="6">
        <f t="shared" si="2"/>
        <v>129.77602</v>
      </c>
      <c r="E50" s="7">
        <v>2.0</v>
      </c>
      <c r="F50" s="8">
        <f t="shared" si="3"/>
        <v>64.88801</v>
      </c>
    </row>
    <row r="51">
      <c r="A51" s="4" t="s">
        <v>138</v>
      </c>
      <c r="B51" s="5">
        <v>105.99</v>
      </c>
      <c r="C51" s="6">
        <f t="shared" si="1"/>
        <v>113.4093</v>
      </c>
      <c r="D51" s="6">
        <f t="shared" si="2"/>
        <v>124.75023</v>
      </c>
      <c r="E51" s="7">
        <v>2.0</v>
      </c>
      <c r="F51" s="8">
        <f t="shared" si="3"/>
        <v>62.375115</v>
      </c>
    </row>
    <row r="52">
      <c r="A52" s="4" t="s">
        <v>139</v>
      </c>
      <c r="B52" s="5">
        <v>101.99</v>
      </c>
      <c r="C52" s="6">
        <f t="shared" si="1"/>
        <v>109.1293</v>
      </c>
      <c r="D52" s="6">
        <f t="shared" si="2"/>
        <v>120.04223</v>
      </c>
      <c r="E52" s="7">
        <v>1.0</v>
      </c>
      <c r="F52" s="8">
        <f t="shared" si="3"/>
        <v>120.04223</v>
      </c>
    </row>
    <row r="53">
      <c r="A53" s="4" t="s">
        <v>44</v>
      </c>
      <c r="B53" s="5">
        <v>119.99</v>
      </c>
      <c r="C53" s="6">
        <f t="shared" si="1"/>
        <v>128.3893</v>
      </c>
      <c r="D53" s="6">
        <f t="shared" si="2"/>
        <v>141.22823</v>
      </c>
      <c r="E53" s="7">
        <v>2.0</v>
      </c>
      <c r="F53" s="8">
        <f t="shared" si="3"/>
        <v>70.614115</v>
      </c>
    </row>
    <row r="54">
      <c r="A54" s="4" t="s">
        <v>45</v>
      </c>
      <c r="B54" s="5">
        <v>115.99</v>
      </c>
      <c r="C54" s="6">
        <f t="shared" si="1"/>
        <v>124.1093</v>
      </c>
      <c r="D54" s="6">
        <f t="shared" si="2"/>
        <v>136.52023</v>
      </c>
      <c r="E54" s="7">
        <v>1.0</v>
      </c>
      <c r="F54" s="8">
        <f t="shared" si="3"/>
        <v>136.52023</v>
      </c>
    </row>
    <row r="55">
      <c r="A55" s="4" t="s">
        <v>46</v>
      </c>
      <c r="B55" s="5">
        <v>125.0</v>
      </c>
      <c r="C55" s="6">
        <f t="shared" si="1"/>
        <v>133.75</v>
      </c>
      <c r="D55" s="6">
        <f t="shared" si="2"/>
        <v>147.125</v>
      </c>
      <c r="E55" s="7">
        <v>1.5</v>
      </c>
      <c r="F55" s="8">
        <f t="shared" si="3"/>
        <v>98.08333333</v>
      </c>
    </row>
    <row r="56">
      <c r="A56" s="4" t="s">
        <v>48</v>
      </c>
      <c r="B56" s="5">
        <v>152.99</v>
      </c>
      <c r="C56" s="6">
        <f t="shared" si="1"/>
        <v>163.6993</v>
      </c>
      <c r="D56" s="6">
        <f t="shared" si="2"/>
        <v>180.06923</v>
      </c>
      <c r="E56" s="7">
        <v>1.0</v>
      </c>
      <c r="F56" s="8">
        <f t="shared" si="3"/>
        <v>180.06923</v>
      </c>
    </row>
    <row r="57">
      <c r="A57" s="4" t="s">
        <v>49</v>
      </c>
      <c r="B57" s="5">
        <v>152.99</v>
      </c>
      <c r="C57" s="6">
        <f t="shared" si="1"/>
        <v>163.6993</v>
      </c>
      <c r="D57" s="6">
        <f t="shared" si="2"/>
        <v>180.06923</v>
      </c>
      <c r="E57" s="7">
        <v>1.0</v>
      </c>
      <c r="F57" s="8">
        <f t="shared" si="3"/>
        <v>180.06923</v>
      </c>
    </row>
    <row r="58">
      <c r="A58" s="4" t="s">
        <v>184</v>
      </c>
      <c r="B58" s="5">
        <v>106.0</v>
      </c>
      <c r="C58" s="6">
        <f t="shared" si="1"/>
        <v>113.42</v>
      </c>
      <c r="D58" s="6">
        <f t="shared" si="2"/>
        <v>124.762</v>
      </c>
      <c r="E58" s="7">
        <v>2.0</v>
      </c>
      <c r="F58" s="8">
        <f t="shared" si="3"/>
        <v>62.381</v>
      </c>
    </row>
    <row r="59">
      <c r="A59" s="4" t="s">
        <v>186</v>
      </c>
      <c r="B59" s="5">
        <v>98.0</v>
      </c>
      <c r="C59" s="6">
        <f t="shared" si="1"/>
        <v>104.86</v>
      </c>
      <c r="D59" s="6">
        <f t="shared" si="2"/>
        <v>115.346</v>
      </c>
      <c r="E59" s="7">
        <v>1.0</v>
      </c>
      <c r="F59" s="8">
        <f t="shared" si="3"/>
        <v>115.346</v>
      </c>
    </row>
    <row r="60">
      <c r="A60" s="4" t="s">
        <v>50</v>
      </c>
      <c r="B60" s="5">
        <v>16.0</v>
      </c>
      <c r="C60" s="6">
        <f t="shared" si="1"/>
        <v>17.12</v>
      </c>
      <c r="D60" s="6">
        <f t="shared" si="2"/>
        <v>18.832</v>
      </c>
      <c r="E60" s="7">
        <v>0.16</v>
      </c>
      <c r="F60" s="8">
        <f t="shared" si="3"/>
        <v>117.7</v>
      </c>
    </row>
    <row r="61">
      <c r="A61" s="4" t="s">
        <v>51</v>
      </c>
      <c r="B61" s="5">
        <v>20.5</v>
      </c>
      <c r="C61" s="6">
        <f t="shared" si="1"/>
        <v>21.935</v>
      </c>
      <c r="D61" s="6">
        <f t="shared" si="2"/>
        <v>24.1285</v>
      </c>
      <c r="E61" s="7">
        <v>0.16</v>
      </c>
      <c r="F61" s="8">
        <f t="shared" si="3"/>
        <v>150.803125</v>
      </c>
    </row>
    <row r="62">
      <c r="A62" s="4" t="s">
        <v>140</v>
      </c>
      <c r="B62" s="5">
        <v>11.43</v>
      </c>
      <c r="C62" s="6">
        <f t="shared" si="1"/>
        <v>12.2301</v>
      </c>
      <c r="D62" s="6">
        <f t="shared" si="2"/>
        <v>13.45311</v>
      </c>
      <c r="E62" s="7">
        <v>0.16</v>
      </c>
      <c r="F62" s="8">
        <f t="shared" si="3"/>
        <v>84.0819375</v>
      </c>
    </row>
    <row r="63">
      <c r="A63" s="4" t="s">
        <v>141</v>
      </c>
      <c r="B63" s="5">
        <v>13.2</v>
      </c>
      <c r="C63" s="6">
        <f t="shared" si="1"/>
        <v>14.124</v>
      </c>
      <c r="D63" s="6">
        <f t="shared" si="2"/>
        <v>15.5364</v>
      </c>
      <c r="E63" s="7">
        <v>0.16</v>
      </c>
      <c r="F63" s="8">
        <f t="shared" si="3"/>
        <v>97.1025</v>
      </c>
    </row>
    <row r="64">
      <c r="A64" s="4" t="s">
        <v>142</v>
      </c>
      <c r="B64" s="5">
        <v>17.6</v>
      </c>
      <c r="C64" s="6">
        <f t="shared" si="1"/>
        <v>18.832</v>
      </c>
      <c r="D64" s="6">
        <f t="shared" si="2"/>
        <v>20.7152</v>
      </c>
      <c r="E64" s="7">
        <v>0.16</v>
      </c>
      <c r="F64" s="8">
        <f t="shared" si="3"/>
        <v>129.47</v>
      </c>
    </row>
    <row r="65">
      <c r="A65" s="4" t="s">
        <v>143</v>
      </c>
      <c r="B65" s="5">
        <v>23.83</v>
      </c>
      <c r="C65" s="6">
        <f t="shared" si="1"/>
        <v>25.4981</v>
      </c>
      <c r="D65" s="6">
        <f t="shared" si="2"/>
        <v>28.04791</v>
      </c>
      <c r="E65" s="7">
        <v>0.16</v>
      </c>
      <c r="F65" s="8">
        <f t="shared" si="3"/>
        <v>175.2994375</v>
      </c>
    </row>
    <row r="66">
      <c r="A66" s="4" t="s">
        <v>144</v>
      </c>
      <c r="B66" s="5">
        <v>29.53</v>
      </c>
      <c r="C66" s="6">
        <f t="shared" si="1"/>
        <v>31.5971</v>
      </c>
      <c r="D66" s="6">
        <f t="shared" si="2"/>
        <v>34.75681</v>
      </c>
      <c r="E66" s="7">
        <v>0.16</v>
      </c>
      <c r="F66" s="8">
        <f t="shared" si="3"/>
        <v>217.2300625</v>
      </c>
    </row>
    <row r="67">
      <c r="A67" s="4" t="s">
        <v>187</v>
      </c>
      <c r="B67" s="5">
        <v>36.99</v>
      </c>
      <c r="C67" s="6">
        <f t="shared" si="1"/>
        <v>39.5793</v>
      </c>
      <c r="D67" s="6">
        <f t="shared" si="2"/>
        <v>43.53723</v>
      </c>
      <c r="E67" s="7">
        <v>0.16</v>
      </c>
      <c r="F67" s="8">
        <f t="shared" si="3"/>
        <v>272.1076875</v>
      </c>
    </row>
    <row r="68">
      <c r="A68" s="4" t="s">
        <v>57</v>
      </c>
      <c r="B68" s="5">
        <v>1400.0</v>
      </c>
      <c r="C68" s="6">
        <f t="shared" si="1"/>
        <v>1498</v>
      </c>
      <c r="D68" s="6">
        <f t="shared" si="2"/>
        <v>1647.8</v>
      </c>
      <c r="E68" s="7">
        <v>25.0</v>
      </c>
      <c r="F68" s="8">
        <f t="shared" si="3"/>
        <v>65.912</v>
      </c>
    </row>
    <row r="69">
      <c r="A69" s="4" t="s">
        <v>145</v>
      </c>
      <c r="B69" s="5">
        <v>145.9</v>
      </c>
      <c r="C69" s="6">
        <f t="shared" si="1"/>
        <v>156.113</v>
      </c>
      <c r="D69" s="6">
        <f t="shared" si="2"/>
        <v>171.7243</v>
      </c>
      <c r="E69" s="9">
        <v>15.0</v>
      </c>
      <c r="F69" s="8">
        <f t="shared" si="3"/>
        <v>11.44828667</v>
      </c>
    </row>
    <row r="70">
      <c r="A70" s="4" t="s">
        <v>146</v>
      </c>
      <c r="B70" s="5">
        <v>179.9</v>
      </c>
      <c r="C70" s="6">
        <f t="shared" si="1"/>
        <v>192.493</v>
      </c>
      <c r="D70" s="6">
        <f t="shared" si="2"/>
        <v>211.7423</v>
      </c>
      <c r="E70" s="9">
        <v>15.0</v>
      </c>
      <c r="F70" s="8">
        <f t="shared" si="3"/>
        <v>14.11615333</v>
      </c>
    </row>
    <row r="71">
      <c r="A71" s="4" t="s">
        <v>60</v>
      </c>
      <c r="B71" s="5" t="s">
        <v>102</v>
      </c>
      <c r="C71" s="6" t="str">
        <f t="shared" si="1"/>
        <v>#VALUE!</v>
      </c>
      <c r="D71" s="6" t="str">
        <f t="shared" si="2"/>
        <v>#VALUE!</v>
      </c>
      <c r="E71" s="9">
        <v>15.0</v>
      </c>
      <c r="F71" s="8" t="str">
        <f t="shared" si="3"/>
        <v>#VALUE!</v>
      </c>
    </row>
    <row r="72">
      <c r="A72" s="4" t="s">
        <v>61</v>
      </c>
      <c r="B72" s="5" t="s">
        <v>102</v>
      </c>
      <c r="C72" s="6" t="str">
        <f t="shared" si="1"/>
        <v>#VALUE!</v>
      </c>
      <c r="D72" s="6" t="str">
        <f t="shared" si="2"/>
        <v>#VALUE!</v>
      </c>
      <c r="E72" s="9">
        <v>15.0</v>
      </c>
      <c r="F72" s="8" t="str">
        <f t="shared" si="3"/>
        <v>#VALUE!</v>
      </c>
    </row>
    <row r="73">
      <c r="A73" s="4" t="s">
        <v>62</v>
      </c>
      <c r="B73" s="5" t="s">
        <v>102</v>
      </c>
      <c r="C73" s="6" t="str">
        <f t="shared" si="1"/>
        <v>#VALUE!</v>
      </c>
      <c r="D73" s="6" t="str">
        <f t="shared" si="2"/>
        <v>#VALUE!</v>
      </c>
      <c r="E73" s="9">
        <v>15.0</v>
      </c>
      <c r="F73" s="8" t="str">
        <f t="shared" si="3"/>
        <v>#VALUE!</v>
      </c>
    </row>
    <row r="74">
      <c r="A74" s="4" t="s">
        <v>63</v>
      </c>
      <c r="B74" s="5" t="s">
        <v>102</v>
      </c>
      <c r="C74" s="6" t="str">
        <f t="shared" si="1"/>
        <v>#VALUE!</v>
      </c>
      <c r="D74" s="6" t="str">
        <f t="shared" si="2"/>
        <v>#VALUE!</v>
      </c>
      <c r="E74" s="9">
        <v>15.0</v>
      </c>
      <c r="F74" s="8" t="str">
        <f t="shared" si="3"/>
        <v>#VALUE!</v>
      </c>
    </row>
    <row r="75">
      <c r="A75" s="4" t="s">
        <v>64</v>
      </c>
      <c r="B75" s="5" t="s">
        <v>102</v>
      </c>
      <c r="C75" s="6" t="str">
        <f t="shared" si="1"/>
        <v>#VALUE!</v>
      </c>
      <c r="D75" s="6" t="str">
        <f t="shared" si="2"/>
        <v>#VALUE!</v>
      </c>
      <c r="E75" s="9">
        <v>15.0</v>
      </c>
      <c r="F75" s="8" t="str">
        <f t="shared" si="3"/>
        <v>#VALUE!</v>
      </c>
    </row>
    <row r="76">
      <c r="A76" s="4" t="s">
        <v>65</v>
      </c>
      <c r="B76" s="5" t="s">
        <v>102</v>
      </c>
      <c r="C76" s="6" t="str">
        <f t="shared" si="1"/>
        <v>#VALUE!</v>
      </c>
      <c r="D76" s="6" t="str">
        <f t="shared" si="2"/>
        <v>#VALUE!</v>
      </c>
      <c r="E76" s="9">
        <v>15.0</v>
      </c>
      <c r="F76" s="8" t="str">
        <f t="shared" si="3"/>
        <v>#VALUE!</v>
      </c>
    </row>
    <row r="77">
      <c r="A77" s="4" t="s">
        <v>147</v>
      </c>
      <c r="B77" s="5">
        <v>278.21</v>
      </c>
      <c r="C77" s="6">
        <f t="shared" si="1"/>
        <v>297.6847</v>
      </c>
      <c r="D77" s="6">
        <f t="shared" si="2"/>
        <v>327.45317</v>
      </c>
      <c r="E77" s="9">
        <v>20.0</v>
      </c>
      <c r="F77" s="8">
        <f t="shared" si="3"/>
        <v>16.3726585</v>
      </c>
    </row>
    <row r="78">
      <c r="A78" s="4" t="s">
        <v>148</v>
      </c>
      <c r="B78" s="5">
        <v>431.86</v>
      </c>
      <c r="C78" s="6">
        <f t="shared" si="1"/>
        <v>462.0902</v>
      </c>
      <c r="D78" s="6">
        <f t="shared" si="2"/>
        <v>508.29922</v>
      </c>
      <c r="E78" s="9">
        <v>30.0</v>
      </c>
      <c r="F78" s="8">
        <f t="shared" si="3"/>
        <v>16.94330733</v>
      </c>
    </row>
    <row r="79">
      <c r="A79" s="4" t="s">
        <v>149</v>
      </c>
      <c r="B79" s="5">
        <v>860.0</v>
      </c>
      <c r="C79" s="6">
        <f t="shared" si="1"/>
        <v>920.2</v>
      </c>
      <c r="D79" s="6">
        <f t="shared" si="2"/>
        <v>1012.22</v>
      </c>
      <c r="E79" s="7">
        <v>10.0</v>
      </c>
      <c r="F79" s="8">
        <f t="shared" si="3"/>
        <v>101.222</v>
      </c>
    </row>
    <row r="80">
      <c r="A80" s="4" t="s">
        <v>150</v>
      </c>
      <c r="B80" s="5">
        <v>430.0</v>
      </c>
      <c r="C80" s="6">
        <f t="shared" si="1"/>
        <v>460.1</v>
      </c>
      <c r="D80" s="6">
        <f t="shared" si="2"/>
        <v>506.11</v>
      </c>
      <c r="E80" s="7">
        <v>5.0</v>
      </c>
      <c r="F80" s="8">
        <f t="shared" si="3"/>
        <v>101.222</v>
      </c>
    </row>
    <row r="81">
      <c r="A81" s="4" t="s">
        <v>151</v>
      </c>
      <c r="B81" s="5">
        <v>845.99</v>
      </c>
      <c r="C81" s="6">
        <f t="shared" si="1"/>
        <v>905.2093</v>
      </c>
      <c r="D81" s="6">
        <f t="shared" si="2"/>
        <v>995.73023</v>
      </c>
      <c r="E81" s="7">
        <v>10.0</v>
      </c>
      <c r="F81" s="8">
        <f t="shared" si="3"/>
        <v>99.573023</v>
      </c>
    </row>
    <row r="82">
      <c r="A82" s="4" t="s">
        <v>152</v>
      </c>
      <c r="B82" s="5">
        <v>355.99</v>
      </c>
      <c r="C82" s="6">
        <f t="shared" si="1"/>
        <v>380.9093</v>
      </c>
      <c r="D82" s="6">
        <f t="shared" si="2"/>
        <v>419.00023</v>
      </c>
      <c r="E82" s="7">
        <v>20.0</v>
      </c>
      <c r="F82" s="8">
        <f t="shared" si="3"/>
        <v>20.9500115</v>
      </c>
    </row>
    <row r="83">
      <c r="A83" s="4" t="s">
        <v>153</v>
      </c>
      <c r="B83" s="5">
        <v>175.0</v>
      </c>
      <c r="C83" s="6">
        <f t="shared" si="1"/>
        <v>187.25</v>
      </c>
      <c r="D83" s="6">
        <f t="shared" si="2"/>
        <v>205.975</v>
      </c>
      <c r="E83" s="9">
        <v>3.0</v>
      </c>
      <c r="F83" s="8">
        <f t="shared" si="3"/>
        <v>68.65833333</v>
      </c>
    </row>
    <row r="84">
      <c r="A84" s="4" t="s">
        <v>154</v>
      </c>
      <c r="B84" s="5">
        <v>34.0</v>
      </c>
      <c r="C84" s="6">
        <f t="shared" si="1"/>
        <v>36.38</v>
      </c>
      <c r="D84" s="6">
        <f t="shared" si="2"/>
        <v>40.018</v>
      </c>
      <c r="E84" s="9">
        <v>20.0</v>
      </c>
      <c r="F84" s="8">
        <f t="shared" si="3"/>
        <v>2.0009</v>
      </c>
    </row>
    <row r="85">
      <c r="A85" s="4" t="s">
        <v>155</v>
      </c>
      <c r="B85" s="5">
        <v>58.0</v>
      </c>
      <c r="C85" s="6">
        <f t="shared" si="1"/>
        <v>62.06</v>
      </c>
      <c r="D85" s="6">
        <f t="shared" si="2"/>
        <v>68.266</v>
      </c>
      <c r="E85" s="9">
        <v>20.0</v>
      </c>
      <c r="F85" s="8">
        <f t="shared" si="3"/>
        <v>3.4133</v>
      </c>
    </row>
    <row r="86">
      <c r="A86" s="4" t="s">
        <v>156</v>
      </c>
      <c r="B86" s="5">
        <v>47.03</v>
      </c>
      <c r="C86" s="6">
        <f t="shared" si="1"/>
        <v>50.3221</v>
      </c>
      <c r="D86" s="6">
        <f t="shared" si="2"/>
        <v>55.35431</v>
      </c>
      <c r="E86" s="10">
        <v>1.0</v>
      </c>
      <c r="F86" s="8">
        <f t="shared" si="3"/>
        <v>55.35431</v>
      </c>
    </row>
    <row r="87">
      <c r="A87" s="4" t="s">
        <v>157</v>
      </c>
      <c r="B87" s="5">
        <v>100.0</v>
      </c>
      <c r="C87" s="6">
        <f t="shared" si="1"/>
        <v>107</v>
      </c>
      <c r="D87" s="6">
        <f t="shared" si="2"/>
        <v>117.7</v>
      </c>
      <c r="E87" s="10">
        <v>20.0</v>
      </c>
      <c r="F87" s="8">
        <f t="shared" si="3"/>
        <v>5.885</v>
      </c>
    </row>
    <row r="88">
      <c r="A88" s="4" t="s">
        <v>158</v>
      </c>
      <c r="B88" s="5">
        <v>12.0</v>
      </c>
      <c r="C88" s="6">
        <f t="shared" si="1"/>
        <v>12.84</v>
      </c>
      <c r="D88" s="6">
        <f t="shared" si="2"/>
        <v>14.124</v>
      </c>
      <c r="E88" s="10">
        <v>75.0</v>
      </c>
      <c r="F88" s="8">
        <f t="shared" si="3"/>
        <v>0.18832</v>
      </c>
    </row>
    <row r="89">
      <c r="A89" s="4" t="s">
        <v>159</v>
      </c>
      <c r="B89" s="26"/>
      <c r="C89" s="6">
        <f t="shared" si="1"/>
        <v>0</v>
      </c>
      <c r="D89" s="6">
        <f t="shared" si="2"/>
        <v>0</v>
      </c>
      <c r="E89" s="7">
        <v>5.0</v>
      </c>
      <c r="F89" s="8">
        <f t="shared" si="3"/>
        <v>0</v>
      </c>
    </row>
    <row r="90">
      <c r="A90" s="4" t="s">
        <v>160</v>
      </c>
      <c r="B90" s="26"/>
      <c r="C90" s="6">
        <f t="shared" si="1"/>
        <v>0</v>
      </c>
      <c r="D90" s="6">
        <f t="shared" si="2"/>
        <v>0</v>
      </c>
      <c r="E90" s="7">
        <v>5.0</v>
      </c>
      <c r="F90" s="8">
        <f t="shared" si="3"/>
        <v>0</v>
      </c>
    </row>
    <row r="91">
      <c r="A91" s="4" t="s">
        <v>79</v>
      </c>
      <c r="B91" s="5">
        <v>312.0</v>
      </c>
      <c r="C91" s="6">
        <f t="shared" si="1"/>
        <v>333.84</v>
      </c>
      <c r="D91" s="6">
        <f t="shared" si="2"/>
        <v>367.224</v>
      </c>
      <c r="E91" s="7">
        <v>4.0</v>
      </c>
      <c r="F91" s="8">
        <f t="shared" si="3"/>
        <v>91.806</v>
      </c>
    </row>
    <row r="92">
      <c r="A92" s="4" t="s">
        <v>161</v>
      </c>
      <c r="B92" s="5">
        <v>303.0</v>
      </c>
      <c r="C92" s="6">
        <f t="shared" si="1"/>
        <v>324.21</v>
      </c>
      <c r="D92" s="6">
        <f t="shared" si="2"/>
        <v>356.631</v>
      </c>
      <c r="E92" s="7">
        <v>7.5</v>
      </c>
      <c r="F92" s="8">
        <f t="shared" si="3"/>
        <v>47.5508</v>
      </c>
    </row>
    <row r="93">
      <c r="A93" s="4" t="s">
        <v>83</v>
      </c>
      <c r="B93" s="5">
        <v>239.0</v>
      </c>
      <c r="C93" s="6">
        <f t="shared" si="1"/>
        <v>255.73</v>
      </c>
      <c r="D93" s="6">
        <f t="shared" si="2"/>
        <v>281.303</v>
      </c>
      <c r="E93" s="7">
        <v>7.5</v>
      </c>
      <c r="F93" s="8">
        <f t="shared" si="3"/>
        <v>37.50706667</v>
      </c>
    </row>
    <row r="94">
      <c r="A94" s="4" t="s">
        <v>162</v>
      </c>
      <c r="B94" s="5">
        <v>296.0</v>
      </c>
      <c r="C94" s="6">
        <f t="shared" si="1"/>
        <v>316.72</v>
      </c>
      <c r="D94" s="6">
        <f t="shared" si="2"/>
        <v>348.392</v>
      </c>
      <c r="E94" s="7">
        <v>5.0</v>
      </c>
      <c r="F94" s="8">
        <f t="shared" si="3"/>
        <v>69.6784</v>
      </c>
    </row>
    <row r="95">
      <c r="A95" s="4" t="s">
        <v>163</v>
      </c>
      <c r="B95" s="5">
        <v>218.99</v>
      </c>
      <c r="C95" s="6">
        <f t="shared" si="1"/>
        <v>234.3193</v>
      </c>
      <c r="D95" s="6">
        <f t="shared" si="2"/>
        <v>257.75123</v>
      </c>
      <c r="E95" s="7">
        <v>5.0</v>
      </c>
      <c r="F95" s="8">
        <f t="shared" si="3"/>
        <v>51.550246</v>
      </c>
    </row>
    <row r="96">
      <c r="A96" s="4" t="s">
        <v>164</v>
      </c>
      <c r="B96" s="5">
        <v>208.0</v>
      </c>
      <c r="C96" s="6">
        <f t="shared" si="1"/>
        <v>222.56</v>
      </c>
      <c r="D96" s="6">
        <f t="shared" si="2"/>
        <v>244.816</v>
      </c>
      <c r="E96" s="7">
        <v>4.0</v>
      </c>
      <c r="F96" s="8">
        <f t="shared" si="3"/>
        <v>61.204</v>
      </c>
    </row>
    <row r="97">
      <c r="A97" s="4" t="s">
        <v>165</v>
      </c>
      <c r="B97" s="5">
        <v>218.0</v>
      </c>
      <c r="C97" s="6">
        <f t="shared" si="1"/>
        <v>233.26</v>
      </c>
      <c r="D97" s="6">
        <f t="shared" si="2"/>
        <v>256.586</v>
      </c>
      <c r="E97" s="7">
        <v>10.0</v>
      </c>
      <c r="F97" s="8">
        <f t="shared" si="3"/>
        <v>25.6586</v>
      </c>
    </row>
    <row r="98">
      <c r="A98" s="4" t="s">
        <v>166</v>
      </c>
      <c r="B98" s="5">
        <v>156.0</v>
      </c>
      <c r="C98" s="6">
        <f t="shared" si="1"/>
        <v>166.92</v>
      </c>
      <c r="D98" s="6">
        <f t="shared" si="2"/>
        <v>183.612</v>
      </c>
      <c r="E98" s="7">
        <v>10.0</v>
      </c>
      <c r="F98" s="8">
        <f t="shared" si="3"/>
        <v>18.3612</v>
      </c>
    </row>
    <row r="99">
      <c r="A99" s="4" t="s">
        <v>189</v>
      </c>
      <c r="B99" s="26"/>
      <c r="C99" s="6">
        <f t="shared" si="1"/>
        <v>0</v>
      </c>
      <c r="D99" s="6">
        <f t="shared" si="2"/>
        <v>0</v>
      </c>
      <c r="E99" s="7">
        <v>10.0</v>
      </c>
      <c r="F99" s="8">
        <f t="shared" si="3"/>
        <v>0</v>
      </c>
    </row>
    <row r="100">
      <c r="A100" s="4" t="s">
        <v>168</v>
      </c>
      <c r="B100" s="5">
        <v>194.0</v>
      </c>
      <c r="C100" s="6">
        <f t="shared" si="1"/>
        <v>207.58</v>
      </c>
      <c r="D100" s="6">
        <f t="shared" si="2"/>
        <v>228.338</v>
      </c>
      <c r="E100" s="7">
        <v>3.333</v>
      </c>
      <c r="F100" s="8">
        <f t="shared" si="3"/>
        <v>68.50825083</v>
      </c>
    </row>
    <row r="101">
      <c r="A101" s="4" t="s">
        <v>169</v>
      </c>
      <c r="B101" s="5">
        <v>158.3</v>
      </c>
      <c r="C101" s="6">
        <f t="shared" si="1"/>
        <v>169.381</v>
      </c>
      <c r="D101" s="6">
        <f t="shared" si="2"/>
        <v>186.3191</v>
      </c>
      <c r="E101" s="7">
        <v>3.0</v>
      </c>
      <c r="F101" s="8">
        <f t="shared" si="3"/>
        <v>62.10636667</v>
      </c>
    </row>
    <row r="102">
      <c r="A102" s="4" t="s">
        <v>170</v>
      </c>
      <c r="B102" s="5">
        <v>46.0</v>
      </c>
      <c r="C102" s="6">
        <f t="shared" si="1"/>
        <v>49.22</v>
      </c>
      <c r="D102" s="6">
        <f t="shared" si="2"/>
        <v>54.142</v>
      </c>
      <c r="E102" s="7">
        <v>25.0</v>
      </c>
      <c r="F102" s="8">
        <f t="shared" si="3"/>
        <v>2.16568</v>
      </c>
    </row>
    <row r="103">
      <c r="A103" s="4" t="s">
        <v>88</v>
      </c>
      <c r="B103" s="5">
        <v>2459.0</v>
      </c>
      <c r="C103" s="6">
        <f t="shared" si="1"/>
        <v>2631.13</v>
      </c>
      <c r="D103" s="6">
        <f t="shared" si="2"/>
        <v>2894.243</v>
      </c>
      <c r="E103" s="7">
        <v>32.47</v>
      </c>
      <c r="F103" s="8">
        <f t="shared" si="3"/>
        <v>89.13591007</v>
      </c>
    </row>
    <row r="104">
      <c r="A104" s="4" t="s">
        <v>89</v>
      </c>
      <c r="B104" s="5">
        <v>2459.0</v>
      </c>
      <c r="C104" s="6">
        <f t="shared" si="1"/>
        <v>2631.13</v>
      </c>
      <c r="D104" s="6">
        <f t="shared" si="2"/>
        <v>2894.243</v>
      </c>
      <c r="E104" s="7">
        <v>24.35</v>
      </c>
      <c r="F104" s="8">
        <f t="shared" si="3"/>
        <v>118.8600821</v>
      </c>
    </row>
    <row r="105">
      <c r="A105" s="4" t="s">
        <v>90</v>
      </c>
      <c r="B105" s="5" t="s">
        <v>102</v>
      </c>
      <c r="C105" s="6" t="str">
        <f t="shared" si="1"/>
        <v>#VALUE!</v>
      </c>
      <c r="D105" s="6" t="str">
        <f t="shared" si="2"/>
        <v>#VALUE!</v>
      </c>
      <c r="E105" s="7">
        <v>12.0</v>
      </c>
      <c r="F105" s="8" t="str">
        <f t="shared" si="3"/>
        <v>#VALUE!</v>
      </c>
    </row>
    <row r="106">
      <c r="A106" s="4" t="s">
        <v>91</v>
      </c>
      <c r="B106" s="5" t="s">
        <v>102</v>
      </c>
      <c r="C106" s="6" t="str">
        <f t="shared" si="1"/>
        <v>#VALUE!</v>
      </c>
      <c r="D106" s="6" t="str">
        <f t="shared" si="2"/>
        <v>#VALUE!</v>
      </c>
      <c r="E106" s="7">
        <v>10.0</v>
      </c>
      <c r="F106" s="8" t="str">
        <f t="shared" si="3"/>
        <v>#VALUE!</v>
      </c>
    </row>
    <row r="107">
      <c r="A107" s="4" t="s">
        <v>92</v>
      </c>
      <c r="B107" s="5" t="s">
        <v>102</v>
      </c>
      <c r="C107" s="6" t="str">
        <f t="shared" si="1"/>
        <v>#VALUE!</v>
      </c>
      <c r="D107" s="6" t="str">
        <f t="shared" si="2"/>
        <v>#VALUE!</v>
      </c>
      <c r="E107" s="7">
        <v>6.0</v>
      </c>
      <c r="F107" s="8" t="str">
        <f t="shared" si="3"/>
        <v>#VALUE!</v>
      </c>
    </row>
    <row r="108">
      <c r="A108" s="4" t="s">
        <v>93</v>
      </c>
      <c r="B108" s="5" t="s">
        <v>102</v>
      </c>
      <c r="C108" s="6" t="str">
        <f t="shared" si="1"/>
        <v>#VALUE!</v>
      </c>
      <c r="D108" s="6" t="str">
        <f t="shared" si="2"/>
        <v>#VALUE!</v>
      </c>
      <c r="E108" s="7">
        <v>20.0</v>
      </c>
      <c r="F108" s="8" t="str">
        <f t="shared" si="3"/>
        <v>#VALUE!</v>
      </c>
    </row>
    <row r="109">
      <c r="A109" s="4" t="s">
        <v>94</v>
      </c>
      <c r="B109" s="5" t="s">
        <v>102</v>
      </c>
      <c r="C109" s="6" t="str">
        <f t="shared" si="1"/>
        <v>#VALUE!</v>
      </c>
      <c r="D109" s="6" t="str">
        <f t="shared" si="2"/>
        <v>#VALUE!</v>
      </c>
      <c r="E109" s="9">
        <v>3.0</v>
      </c>
      <c r="F109" s="8" t="str">
        <f t="shared" si="3"/>
        <v>#VALUE!</v>
      </c>
    </row>
    <row r="110">
      <c r="A110" s="4" t="s">
        <v>95</v>
      </c>
      <c r="B110" s="5" t="s">
        <v>102</v>
      </c>
      <c r="C110" s="6" t="str">
        <f t="shared" si="1"/>
        <v>#VALUE!</v>
      </c>
      <c r="D110" s="6" t="str">
        <f t="shared" si="2"/>
        <v>#VALUE!</v>
      </c>
      <c r="E110" s="9">
        <v>20.0</v>
      </c>
      <c r="F110" s="8" t="str">
        <f t="shared" si="3"/>
        <v>#VALUE!</v>
      </c>
    </row>
    <row r="111">
      <c r="A111" s="4" t="s">
        <v>96</v>
      </c>
      <c r="B111" s="5" t="s">
        <v>102</v>
      </c>
      <c r="C111" s="6" t="str">
        <f t="shared" si="1"/>
        <v>#VALUE!</v>
      </c>
      <c r="D111" s="6" t="str">
        <f t="shared" si="2"/>
        <v>#VALUE!</v>
      </c>
      <c r="E111" s="9">
        <v>20.0</v>
      </c>
      <c r="F111" s="8" t="str">
        <f t="shared" si="3"/>
        <v>#VALUE!</v>
      </c>
    </row>
    <row r="112">
      <c r="A112" s="4" t="s">
        <v>97</v>
      </c>
      <c r="B112" s="5" t="s">
        <v>102</v>
      </c>
      <c r="C112" s="6" t="str">
        <f t="shared" si="1"/>
        <v>#VALUE!</v>
      </c>
      <c r="D112" s="6" t="str">
        <f t="shared" si="2"/>
        <v>#VALUE!</v>
      </c>
      <c r="E112" s="10">
        <v>1.0</v>
      </c>
      <c r="F112" s="8" t="str">
        <f t="shared" si="3"/>
        <v>#VALUE!</v>
      </c>
    </row>
    <row r="113">
      <c r="A113" s="4" t="s">
        <v>98</v>
      </c>
      <c r="B113" s="5" t="s">
        <v>102</v>
      </c>
      <c r="C113" s="6" t="str">
        <f t="shared" si="1"/>
        <v>#VALUE!</v>
      </c>
      <c r="D113" s="6" t="str">
        <f t="shared" si="2"/>
        <v>#VALUE!</v>
      </c>
      <c r="E113" s="10">
        <v>20.0</v>
      </c>
      <c r="F113" s="8" t="str">
        <f t="shared" si="3"/>
        <v>#VALUE!</v>
      </c>
    </row>
    <row r="114">
      <c r="A114" s="4" t="s">
        <v>99</v>
      </c>
      <c r="B114" s="11" t="s">
        <v>102</v>
      </c>
      <c r="C114" s="6" t="str">
        <f t="shared" si="1"/>
        <v>#VALUE!</v>
      </c>
      <c r="D114" s="6" t="str">
        <f t="shared" si="2"/>
        <v>#VALUE!</v>
      </c>
      <c r="E114" s="7">
        <v>7.0</v>
      </c>
      <c r="F114" s="8" t="str">
        <f t="shared" si="3"/>
        <v>#VALUE!</v>
      </c>
    </row>
    <row r="115">
      <c r="A115" s="4" t="s">
        <v>100</v>
      </c>
      <c r="B115" s="5" t="s">
        <v>102</v>
      </c>
      <c r="C115" s="6" t="str">
        <f t="shared" si="1"/>
        <v>#VALUE!</v>
      </c>
      <c r="D115" s="6" t="str">
        <f t="shared" si="2"/>
        <v>#VALUE!</v>
      </c>
      <c r="E115" s="10">
        <v>75.0</v>
      </c>
      <c r="F115" s="8" t="str">
        <f t="shared" si="3"/>
        <v>#VALUE!</v>
      </c>
    </row>
    <row r="116">
      <c r="A116" s="20" t="s">
        <v>171</v>
      </c>
      <c r="B116" s="21">
        <v>160.0</v>
      </c>
      <c r="C116" s="22">
        <f t="shared" si="1"/>
        <v>171.2</v>
      </c>
      <c r="D116" s="22">
        <f t="shared" si="2"/>
        <v>188.32</v>
      </c>
      <c r="E116" s="23">
        <v>15.0</v>
      </c>
      <c r="F116" s="24">
        <f t="shared" si="3"/>
        <v>12.55466667</v>
      </c>
    </row>
    <row r="117">
      <c r="A117" s="4" t="s">
        <v>118</v>
      </c>
      <c r="B117" s="11">
        <v>168.6</v>
      </c>
      <c r="C117" s="6">
        <f t="shared" si="1"/>
        <v>180.402</v>
      </c>
      <c r="D117" s="6">
        <f t="shared" si="2"/>
        <v>198.4422</v>
      </c>
      <c r="E117" s="7">
        <v>7.5</v>
      </c>
      <c r="F117" s="8">
        <f t="shared" si="3"/>
        <v>26.45896</v>
      </c>
    </row>
    <row r="118">
      <c r="A118" s="4" t="s">
        <v>119</v>
      </c>
      <c r="B118" s="25">
        <v>37.44</v>
      </c>
      <c r="C118" s="6">
        <f t="shared" si="1"/>
        <v>40.0608</v>
      </c>
      <c r="D118" s="6">
        <f t="shared" si="2"/>
        <v>44.06688</v>
      </c>
      <c r="E118" s="7">
        <v>1.0</v>
      </c>
      <c r="F118" s="8">
        <f t="shared" si="3"/>
        <v>44.06688</v>
      </c>
    </row>
    <row r="119">
      <c r="A119" s="4" t="s">
        <v>121</v>
      </c>
      <c r="B119" s="11">
        <v>12.75</v>
      </c>
      <c r="C119" s="6">
        <f t="shared" si="1"/>
        <v>13.6425</v>
      </c>
      <c r="D119" s="6">
        <f t="shared" si="2"/>
        <v>15.00675</v>
      </c>
      <c r="E119" s="7">
        <v>1.0</v>
      </c>
      <c r="F119" s="8">
        <f t="shared" si="3"/>
        <v>15.00675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13.88"/>
    <col customWidth="1" min="4" max="4" width="14.88"/>
    <col customWidth="1" min="5" max="5" width="19.13"/>
    <col customWidth="1" min="6" max="6" width="39.38"/>
  </cols>
  <sheetData>
    <row r="1">
      <c r="A1" s="1" t="s">
        <v>101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 t="s">
        <v>6</v>
      </c>
      <c r="B2" s="5">
        <v>52.0</v>
      </c>
      <c r="C2" s="6">
        <f t="shared" ref="C2:C92" si="1">B2*1.07</f>
        <v>55.64</v>
      </c>
      <c r="D2" s="6">
        <f t="shared" ref="D2:D92" si="2">C2*1.1</f>
        <v>61.204</v>
      </c>
      <c r="E2" s="7">
        <v>12.5</v>
      </c>
      <c r="F2" s="8">
        <f t="shared" ref="F2:F92" si="3">D2/E2</f>
        <v>4.89632</v>
      </c>
    </row>
    <row r="3">
      <c r="A3" s="4" t="s">
        <v>7</v>
      </c>
      <c r="B3" s="5">
        <v>99.95</v>
      </c>
      <c r="C3" s="6">
        <f t="shared" si="1"/>
        <v>106.9465</v>
      </c>
      <c r="D3" s="6">
        <f t="shared" si="2"/>
        <v>117.64115</v>
      </c>
      <c r="E3" s="7">
        <v>20.0</v>
      </c>
      <c r="F3" s="8">
        <f t="shared" si="3"/>
        <v>5.8820575</v>
      </c>
    </row>
    <row r="4">
      <c r="A4" s="4" t="s">
        <v>8</v>
      </c>
      <c r="B4" s="5">
        <v>55.0</v>
      </c>
      <c r="C4" s="6">
        <f t="shared" si="1"/>
        <v>58.85</v>
      </c>
      <c r="D4" s="6">
        <f t="shared" si="2"/>
        <v>64.735</v>
      </c>
      <c r="E4" s="7">
        <v>0.32</v>
      </c>
      <c r="F4" s="8">
        <f t="shared" si="3"/>
        <v>202.296875</v>
      </c>
    </row>
    <row r="5">
      <c r="A5" s="4" t="s">
        <v>9</v>
      </c>
      <c r="B5" s="5">
        <v>12.0</v>
      </c>
      <c r="C5" s="6">
        <f t="shared" si="1"/>
        <v>12.84</v>
      </c>
      <c r="D5" s="6">
        <f t="shared" si="2"/>
        <v>14.124</v>
      </c>
      <c r="E5" s="7">
        <v>0.06</v>
      </c>
      <c r="F5" s="8">
        <f t="shared" si="3"/>
        <v>235.4</v>
      </c>
    </row>
    <row r="6">
      <c r="A6" s="4" t="s">
        <v>10</v>
      </c>
      <c r="B6" s="5">
        <v>13.25</v>
      </c>
      <c r="C6" s="6">
        <f t="shared" si="1"/>
        <v>14.1775</v>
      </c>
      <c r="D6" s="6">
        <f t="shared" si="2"/>
        <v>15.59525</v>
      </c>
      <c r="E6" s="7">
        <v>0.08</v>
      </c>
      <c r="F6" s="8">
        <f t="shared" si="3"/>
        <v>194.940625</v>
      </c>
    </row>
    <row r="7">
      <c r="A7" s="4" t="s">
        <v>11</v>
      </c>
      <c r="B7" s="5">
        <v>3.25</v>
      </c>
      <c r="C7" s="6">
        <f t="shared" si="1"/>
        <v>3.4775</v>
      </c>
      <c r="D7" s="6">
        <f t="shared" si="2"/>
        <v>3.82525</v>
      </c>
      <c r="E7" s="7">
        <v>1.0</v>
      </c>
      <c r="F7" s="8">
        <f t="shared" si="3"/>
        <v>3.82525</v>
      </c>
    </row>
    <row r="8">
      <c r="A8" s="4" t="s">
        <v>12</v>
      </c>
      <c r="B8" s="5"/>
      <c r="C8" s="6">
        <f t="shared" si="1"/>
        <v>0</v>
      </c>
      <c r="D8" s="6">
        <f t="shared" si="2"/>
        <v>0</v>
      </c>
      <c r="E8" s="7">
        <v>1.0</v>
      </c>
      <c r="F8" s="8">
        <f t="shared" si="3"/>
        <v>0</v>
      </c>
    </row>
    <row r="9">
      <c r="A9" s="4" t="s">
        <v>13</v>
      </c>
      <c r="B9" s="5">
        <v>14.0</v>
      </c>
      <c r="C9" s="6">
        <f t="shared" si="1"/>
        <v>14.98</v>
      </c>
      <c r="D9" s="6">
        <f t="shared" si="2"/>
        <v>16.478</v>
      </c>
      <c r="E9" s="7">
        <v>1.0</v>
      </c>
      <c r="F9" s="8">
        <f t="shared" si="3"/>
        <v>16.478</v>
      </c>
    </row>
    <row r="10">
      <c r="A10" s="4" t="s">
        <v>14</v>
      </c>
      <c r="B10" s="5">
        <v>10.0</v>
      </c>
      <c r="C10" s="6">
        <f t="shared" si="1"/>
        <v>10.7</v>
      </c>
      <c r="D10" s="6">
        <f t="shared" si="2"/>
        <v>11.77</v>
      </c>
      <c r="E10" s="7">
        <v>1.0</v>
      </c>
      <c r="F10" s="8">
        <f t="shared" si="3"/>
        <v>11.77</v>
      </c>
    </row>
    <row r="11">
      <c r="A11" s="4" t="s">
        <v>15</v>
      </c>
      <c r="B11" s="5">
        <v>8.95</v>
      </c>
      <c r="C11" s="6">
        <f t="shared" si="1"/>
        <v>9.5765</v>
      </c>
      <c r="D11" s="6">
        <f t="shared" si="2"/>
        <v>10.53415</v>
      </c>
      <c r="E11" s="7">
        <v>1.0</v>
      </c>
      <c r="F11" s="8">
        <f t="shared" si="3"/>
        <v>10.53415</v>
      </c>
    </row>
    <row r="12">
      <c r="A12" s="4" t="s">
        <v>16</v>
      </c>
      <c r="B12" s="5"/>
      <c r="C12" s="6">
        <f t="shared" si="1"/>
        <v>0</v>
      </c>
      <c r="D12" s="6">
        <f t="shared" si="2"/>
        <v>0</v>
      </c>
      <c r="E12" s="7">
        <v>1.0</v>
      </c>
      <c r="F12" s="8">
        <f t="shared" si="3"/>
        <v>0</v>
      </c>
    </row>
    <row r="13">
      <c r="A13" s="4" t="s">
        <v>17</v>
      </c>
      <c r="B13" s="5">
        <v>12.5</v>
      </c>
      <c r="C13" s="6">
        <f t="shared" si="1"/>
        <v>13.375</v>
      </c>
      <c r="D13" s="6">
        <f t="shared" si="2"/>
        <v>14.7125</v>
      </c>
      <c r="E13" s="7">
        <v>1.0</v>
      </c>
      <c r="F13" s="8">
        <f t="shared" si="3"/>
        <v>14.7125</v>
      </c>
    </row>
    <row r="14">
      <c r="A14" s="4" t="s">
        <v>19</v>
      </c>
      <c r="B14" s="5">
        <v>18.5</v>
      </c>
      <c r="C14" s="6">
        <f t="shared" si="1"/>
        <v>19.795</v>
      </c>
      <c r="D14" s="6">
        <f t="shared" si="2"/>
        <v>21.7745</v>
      </c>
      <c r="E14" s="7">
        <v>1.0</v>
      </c>
      <c r="F14" s="8">
        <f t="shared" si="3"/>
        <v>21.7745</v>
      </c>
    </row>
    <row r="15">
      <c r="A15" s="4" t="s">
        <v>18</v>
      </c>
      <c r="B15" s="5"/>
      <c r="C15" s="6">
        <f t="shared" si="1"/>
        <v>0</v>
      </c>
      <c r="D15" s="6">
        <f t="shared" si="2"/>
        <v>0</v>
      </c>
      <c r="E15" s="7">
        <v>1.0</v>
      </c>
      <c r="F15" s="8">
        <f t="shared" si="3"/>
        <v>0</v>
      </c>
    </row>
    <row r="16">
      <c r="A16" s="4" t="s">
        <v>20</v>
      </c>
      <c r="B16" s="5">
        <v>44.0</v>
      </c>
      <c r="C16" s="6">
        <f t="shared" si="1"/>
        <v>47.08</v>
      </c>
      <c r="D16" s="6">
        <f t="shared" si="2"/>
        <v>51.788</v>
      </c>
      <c r="E16" s="7">
        <v>2.0</v>
      </c>
      <c r="F16" s="8">
        <f t="shared" si="3"/>
        <v>25.894</v>
      </c>
    </row>
    <row r="17">
      <c r="A17" s="4" t="s">
        <v>224</v>
      </c>
      <c r="B17" s="5">
        <v>27.5</v>
      </c>
      <c r="C17" s="6">
        <f t="shared" si="1"/>
        <v>29.425</v>
      </c>
      <c r="D17" s="6">
        <f t="shared" si="2"/>
        <v>32.3675</v>
      </c>
      <c r="E17" s="7">
        <v>2.0</v>
      </c>
      <c r="F17" s="8">
        <f t="shared" si="3"/>
        <v>16.18375</v>
      </c>
    </row>
    <row r="18">
      <c r="A18" s="4" t="s">
        <v>23</v>
      </c>
      <c r="B18" s="5">
        <v>44.5</v>
      </c>
      <c r="C18" s="6">
        <f t="shared" si="1"/>
        <v>47.615</v>
      </c>
      <c r="D18" s="6">
        <f t="shared" si="2"/>
        <v>52.3765</v>
      </c>
      <c r="E18" s="7">
        <v>2.0</v>
      </c>
      <c r="F18" s="8">
        <f t="shared" si="3"/>
        <v>26.18825</v>
      </c>
    </row>
    <row r="19">
      <c r="A19" s="4" t="s">
        <v>24</v>
      </c>
      <c r="B19" s="5">
        <v>98.95</v>
      </c>
      <c r="C19" s="6">
        <f t="shared" si="1"/>
        <v>105.8765</v>
      </c>
      <c r="D19" s="6">
        <f t="shared" si="2"/>
        <v>116.46415</v>
      </c>
      <c r="E19" s="7">
        <v>2.0</v>
      </c>
      <c r="F19" s="8">
        <f t="shared" si="3"/>
        <v>58.232075</v>
      </c>
    </row>
    <row r="20">
      <c r="A20" s="4" t="s">
        <v>225</v>
      </c>
      <c r="B20" s="5">
        <v>69.96</v>
      </c>
      <c r="C20" s="6">
        <f t="shared" si="1"/>
        <v>74.8572</v>
      </c>
      <c r="D20" s="6">
        <f t="shared" si="2"/>
        <v>82.34292</v>
      </c>
      <c r="E20" s="7">
        <v>2.0</v>
      </c>
      <c r="F20" s="8">
        <f t="shared" si="3"/>
        <v>41.17146</v>
      </c>
    </row>
    <row r="21">
      <c r="A21" s="4" t="s">
        <v>25</v>
      </c>
      <c r="B21" s="5">
        <v>94.5</v>
      </c>
      <c r="C21" s="6">
        <f t="shared" si="1"/>
        <v>101.115</v>
      </c>
      <c r="D21" s="6">
        <f t="shared" si="2"/>
        <v>111.2265</v>
      </c>
      <c r="E21" s="7">
        <v>2.0</v>
      </c>
      <c r="F21" s="8">
        <f t="shared" si="3"/>
        <v>55.61325</v>
      </c>
    </row>
    <row r="22">
      <c r="A22" s="4" t="s">
        <v>104</v>
      </c>
      <c r="B22" s="5">
        <v>111.95</v>
      </c>
      <c r="C22" s="6">
        <f t="shared" si="1"/>
        <v>119.7865</v>
      </c>
      <c r="D22" s="6">
        <f t="shared" si="2"/>
        <v>131.76515</v>
      </c>
      <c r="E22" s="7">
        <v>1.5</v>
      </c>
      <c r="F22" s="8">
        <f t="shared" si="3"/>
        <v>87.84343333</v>
      </c>
    </row>
    <row r="23">
      <c r="A23" s="4" t="s">
        <v>26</v>
      </c>
      <c r="B23" s="5">
        <v>65.0</v>
      </c>
      <c r="C23" s="6">
        <f t="shared" si="1"/>
        <v>69.55</v>
      </c>
      <c r="D23" s="6">
        <f t="shared" si="2"/>
        <v>76.505</v>
      </c>
      <c r="E23" s="7">
        <v>10.0</v>
      </c>
      <c r="F23" s="8">
        <f t="shared" si="3"/>
        <v>7.6505</v>
      </c>
    </row>
    <row r="24">
      <c r="A24" s="4" t="s">
        <v>27</v>
      </c>
      <c r="B24" s="5">
        <v>9.25</v>
      </c>
      <c r="C24" s="6">
        <f t="shared" si="1"/>
        <v>9.8975</v>
      </c>
      <c r="D24" s="6">
        <f t="shared" si="2"/>
        <v>10.88725</v>
      </c>
      <c r="E24" s="7">
        <v>1.0</v>
      </c>
      <c r="F24" s="8">
        <f t="shared" si="3"/>
        <v>10.88725</v>
      </c>
    </row>
    <row r="25">
      <c r="A25" s="4" t="s">
        <v>28</v>
      </c>
      <c r="B25" s="5"/>
      <c r="C25" s="6">
        <f t="shared" si="1"/>
        <v>0</v>
      </c>
      <c r="D25" s="6">
        <f t="shared" si="2"/>
        <v>0</v>
      </c>
      <c r="E25" s="7">
        <v>1.0</v>
      </c>
      <c r="F25" s="8">
        <f t="shared" si="3"/>
        <v>0</v>
      </c>
    </row>
    <row r="26">
      <c r="A26" s="4" t="s">
        <v>29</v>
      </c>
      <c r="B26" s="5">
        <v>37.95</v>
      </c>
      <c r="C26" s="6">
        <f t="shared" si="1"/>
        <v>40.6065</v>
      </c>
      <c r="D26" s="6">
        <f t="shared" si="2"/>
        <v>44.66715</v>
      </c>
      <c r="E26" s="7">
        <v>7.0</v>
      </c>
      <c r="F26" s="8">
        <f t="shared" si="3"/>
        <v>6.381021429</v>
      </c>
    </row>
    <row r="27">
      <c r="A27" s="4" t="s">
        <v>30</v>
      </c>
      <c r="B27" s="5">
        <v>39.5</v>
      </c>
      <c r="C27" s="6">
        <f t="shared" si="1"/>
        <v>42.265</v>
      </c>
      <c r="D27" s="6">
        <f t="shared" si="2"/>
        <v>46.4915</v>
      </c>
      <c r="E27" s="7">
        <v>7.0</v>
      </c>
      <c r="F27" s="8">
        <f t="shared" si="3"/>
        <v>6.641642857</v>
      </c>
    </row>
    <row r="28">
      <c r="A28" s="4" t="s">
        <v>31</v>
      </c>
      <c r="B28" s="5">
        <v>135.0</v>
      </c>
      <c r="C28" s="6">
        <f t="shared" si="1"/>
        <v>144.45</v>
      </c>
      <c r="D28" s="6">
        <f t="shared" si="2"/>
        <v>158.895</v>
      </c>
      <c r="E28" s="7">
        <v>2.5</v>
      </c>
      <c r="F28" s="8">
        <f t="shared" si="3"/>
        <v>63.558</v>
      </c>
    </row>
    <row r="29">
      <c r="A29" s="4" t="s">
        <v>32</v>
      </c>
      <c r="B29" s="5">
        <v>14.0</v>
      </c>
      <c r="C29" s="6">
        <f t="shared" si="1"/>
        <v>14.98</v>
      </c>
      <c r="D29" s="6">
        <f t="shared" si="2"/>
        <v>16.478</v>
      </c>
      <c r="E29" s="7">
        <v>1.25</v>
      </c>
      <c r="F29" s="8">
        <f t="shared" si="3"/>
        <v>13.1824</v>
      </c>
    </row>
    <row r="30">
      <c r="A30" s="4" t="s">
        <v>33</v>
      </c>
      <c r="B30" s="5">
        <v>17.5</v>
      </c>
      <c r="C30" s="6">
        <f t="shared" si="1"/>
        <v>18.725</v>
      </c>
      <c r="D30" s="6">
        <f t="shared" si="2"/>
        <v>20.5975</v>
      </c>
      <c r="E30" s="7">
        <v>1.25</v>
      </c>
      <c r="F30" s="8">
        <f t="shared" si="3"/>
        <v>16.478</v>
      </c>
    </row>
    <row r="31">
      <c r="A31" s="4" t="s">
        <v>34</v>
      </c>
      <c r="B31" s="5">
        <v>19.25</v>
      </c>
      <c r="C31" s="6">
        <f t="shared" si="1"/>
        <v>20.5975</v>
      </c>
      <c r="D31" s="6">
        <f t="shared" si="2"/>
        <v>22.65725</v>
      </c>
      <c r="E31" s="7">
        <v>1.25</v>
      </c>
      <c r="F31" s="8">
        <f t="shared" si="3"/>
        <v>18.1258</v>
      </c>
    </row>
    <row r="32">
      <c r="A32" s="4" t="s">
        <v>35</v>
      </c>
      <c r="B32" s="5">
        <v>19.95</v>
      </c>
      <c r="C32" s="6">
        <f t="shared" si="1"/>
        <v>21.3465</v>
      </c>
      <c r="D32" s="6">
        <f t="shared" si="2"/>
        <v>23.48115</v>
      </c>
      <c r="E32" s="7">
        <v>1.25</v>
      </c>
      <c r="F32" s="8">
        <f t="shared" si="3"/>
        <v>18.78492</v>
      </c>
    </row>
    <row r="33">
      <c r="A33" s="4" t="s">
        <v>36</v>
      </c>
      <c r="B33" s="5">
        <v>28.0</v>
      </c>
      <c r="C33" s="6">
        <f t="shared" si="1"/>
        <v>29.96</v>
      </c>
      <c r="D33" s="6">
        <f t="shared" si="2"/>
        <v>32.956</v>
      </c>
      <c r="E33" s="7">
        <v>0.333</v>
      </c>
      <c r="F33" s="8">
        <f t="shared" si="3"/>
        <v>98.96696697</v>
      </c>
    </row>
    <row r="34">
      <c r="A34" s="4" t="s">
        <v>38</v>
      </c>
      <c r="B34" s="5">
        <v>34.67</v>
      </c>
      <c r="C34" s="6">
        <f t="shared" si="1"/>
        <v>37.0969</v>
      </c>
      <c r="D34" s="6">
        <f t="shared" si="2"/>
        <v>40.80659</v>
      </c>
      <c r="E34" s="7">
        <v>0.333</v>
      </c>
      <c r="F34" s="8">
        <f t="shared" si="3"/>
        <v>122.5423123</v>
      </c>
    </row>
    <row r="35">
      <c r="A35" s="4" t="s">
        <v>39</v>
      </c>
      <c r="B35" s="5">
        <v>165.0</v>
      </c>
      <c r="C35" s="6">
        <f t="shared" si="1"/>
        <v>176.55</v>
      </c>
      <c r="D35" s="6">
        <f t="shared" si="2"/>
        <v>194.205</v>
      </c>
      <c r="E35" s="7">
        <v>3.5</v>
      </c>
      <c r="F35" s="8">
        <f t="shared" si="3"/>
        <v>55.48714286</v>
      </c>
    </row>
    <row r="36">
      <c r="A36" s="4" t="s">
        <v>40</v>
      </c>
      <c r="B36" s="5">
        <v>12.5</v>
      </c>
      <c r="C36" s="6">
        <f t="shared" si="1"/>
        <v>13.375</v>
      </c>
      <c r="D36" s="6">
        <f t="shared" si="2"/>
        <v>14.7125</v>
      </c>
      <c r="E36" s="7">
        <v>4.0</v>
      </c>
      <c r="F36" s="8">
        <f t="shared" si="3"/>
        <v>3.678125</v>
      </c>
    </row>
    <row r="37">
      <c r="A37" s="4" t="s">
        <v>41</v>
      </c>
      <c r="B37" s="5">
        <v>36.5</v>
      </c>
      <c r="C37" s="6">
        <f t="shared" si="1"/>
        <v>39.055</v>
      </c>
      <c r="D37" s="6">
        <f t="shared" si="2"/>
        <v>42.9605</v>
      </c>
      <c r="E37" s="7">
        <v>4.0</v>
      </c>
      <c r="F37" s="8">
        <f t="shared" si="3"/>
        <v>10.740125</v>
      </c>
    </row>
    <row r="38">
      <c r="A38" s="4" t="s">
        <v>42</v>
      </c>
      <c r="B38" s="5">
        <v>38.5</v>
      </c>
      <c r="C38" s="6">
        <f t="shared" si="1"/>
        <v>41.195</v>
      </c>
      <c r="D38" s="6">
        <f t="shared" si="2"/>
        <v>45.3145</v>
      </c>
      <c r="E38" s="7">
        <v>5.0</v>
      </c>
      <c r="F38" s="8">
        <f t="shared" si="3"/>
        <v>9.0629</v>
      </c>
    </row>
    <row r="39">
      <c r="A39" s="4" t="s">
        <v>43</v>
      </c>
      <c r="B39" s="5">
        <v>96.15</v>
      </c>
      <c r="C39" s="6">
        <f t="shared" si="1"/>
        <v>102.8805</v>
      </c>
      <c r="D39" s="6">
        <f t="shared" si="2"/>
        <v>113.16855</v>
      </c>
      <c r="E39" s="7">
        <v>2.0</v>
      </c>
      <c r="F39" s="8">
        <f t="shared" si="3"/>
        <v>56.584275</v>
      </c>
    </row>
    <row r="40">
      <c r="A40" s="4" t="s">
        <v>44</v>
      </c>
      <c r="B40" s="5">
        <v>103.5</v>
      </c>
      <c r="C40" s="6">
        <f t="shared" si="1"/>
        <v>110.745</v>
      </c>
      <c r="D40" s="6">
        <f t="shared" si="2"/>
        <v>121.8195</v>
      </c>
      <c r="E40" s="7">
        <v>2.0</v>
      </c>
      <c r="F40" s="8">
        <f t="shared" si="3"/>
        <v>60.90975</v>
      </c>
    </row>
    <row r="41">
      <c r="A41" s="4" t="s">
        <v>45</v>
      </c>
      <c r="B41" s="5">
        <v>105.0</v>
      </c>
      <c r="C41" s="6">
        <f t="shared" si="1"/>
        <v>112.35</v>
      </c>
      <c r="D41" s="6">
        <f t="shared" si="2"/>
        <v>123.585</v>
      </c>
      <c r="E41" s="7">
        <v>1.0</v>
      </c>
      <c r="F41" s="8">
        <f t="shared" si="3"/>
        <v>123.585</v>
      </c>
    </row>
    <row r="42">
      <c r="A42" s="4" t="s">
        <v>226</v>
      </c>
      <c r="B42" s="5">
        <v>135.0</v>
      </c>
      <c r="C42" s="6">
        <f t="shared" si="1"/>
        <v>144.45</v>
      </c>
      <c r="D42" s="6">
        <f t="shared" si="2"/>
        <v>158.895</v>
      </c>
      <c r="E42" s="7">
        <v>1.0</v>
      </c>
      <c r="F42" s="8">
        <f t="shared" si="3"/>
        <v>158.895</v>
      </c>
    </row>
    <row r="43">
      <c r="A43" s="4" t="s">
        <v>50</v>
      </c>
      <c r="B43" s="5">
        <v>9.72</v>
      </c>
      <c r="C43" s="6">
        <f t="shared" si="1"/>
        <v>10.4004</v>
      </c>
      <c r="D43" s="6">
        <f t="shared" si="2"/>
        <v>11.44044</v>
      </c>
      <c r="E43" s="7">
        <v>0.16</v>
      </c>
      <c r="F43" s="8">
        <f t="shared" si="3"/>
        <v>71.50275</v>
      </c>
    </row>
    <row r="44">
      <c r="A44" s="4" t="s">
        <v>51</v>
      </c>
      <c r="B44" s="5">
        <v>11.37</v>
      </c>
      <c r="C44" s="6">
        <f t="shared" si="1"/>
        <v>12.1659</v>
      </c>
      <c r="D44" s="6">
        <f t="shared" si="2"/>
        <v>13.38249</v>
      </c>
      <c r="E44" s="7">
        <v>0.16</v>
      </c>
      <c r="F44" s="8">
        <f t="shared" si="3"/>
        <v>83.6405625</v>
      </c>
    </row>
    <row r="45">
      <c r="A45" s="4" t="s">
        <v>227</v>
      </c>
      <c r="B45" s="5">
        <v>15.0</v>
      </c>
      <c r="C45" s="6">
        <f t="shared" si="1"/>
        <v>16.05</v>
      </c>
      <c r="D45" s="6">
        <f t="shared" si="2"/>
        <v>17.655</v>
      </c>
      <c r="E45" s="7">
        <v>0.16</v>
      </c>
      <c r="F45" s="8">
        <f t="shared" si="3"/>
        <v>110.34375</v>
      </c>
    </row>
    <row r="46">
      <c r="A46" s="4" t="s">
        <v>52</v>
      </c>
      <c r="B46" s="5"/>
      <c r="C46" s="6">
        <f t="shared" si="1"/>
        <v>0</v>
      </c>
      <c r="D46" s="6">
        <f t="shared" si="2"/>
        <v>0</v>
      </c>
      <c r="E46" s="7">
        <v>0.16</v>
      </c>
      <c r="F46" s="8">
        <f t="shared" si="3"/>
        <v>0</v>
      </c>
    </row>
    <row r="47">
      <c r="A47" s="4" t="s">
        <v>53</v>
      </c>
      <c r="B47" s="5">
        <v>12.0</v>
      </c>
      <c r="C47" s="6">
        <f t="shared" si="1"/>
        <v>12.84</v>
      </c>
      <c r="D47" s="6">
        <f t="shared" si="2"/>
        <v>14.124</v>
      </c>
      <c r="E47" s="7">
        <v>0.16</v>
      </c>
      <c r="F47" s="8">
        <f t="shared" si="3"/>
        <v>88.275</v>
      </c>
    </row>
    <row r="48">
      <c r="A48" s="4" t="s">
        <v>54</v>
      </c>
      <c r="B48" s="5">
        <v>16.0</v>
      </c>
      <c r="C48" s="6">
        <f t="shared" si="1"/>
        <v>17.12</v>
      </c>
      <c r="D48" s="6">
        <f t="shared" si="2"/>
        <v>18.832</v>
      </c>
      <c r="E48" s="7">
        <v>0.16</v>
      </c>
      <c r="F48" s="8">
        <f t="shared" si="3"/>
        <v>117.7</v>
      </c>
    </row>
    <row r="49">
      <c r="A49" s="4" t="s">
        <v>55</v>
      </c>
      <c r="B49" s="5"/>
      <c r="C49" s="6">
        <f t="shared" si="1"/>
        <v>0</v>
      </c>
      <c r="D49" s="6">
        <f t="shared" si="2"/>
        <v>0</v>
      </c>
      <c r="E49" s="7">
        <v>0.16</v>
      </c>
      <c r="F49" s="8">
        <f t="shared" si="3"/>
        <v>0</v>
      </c>
    </row>
    <row r="50">
      <c r="A50" s="4" t="s">
        <v>57</v>
      </c>
      <c r="B50" s="5">
        <v>1530.0</v>
      </c>
      <c r="C50" s="6">
        <f t="shared" si="1"/>
        <v>1637.1</v>
      </c>
      <c r="D50" s="6">
        <f t="shared" si="2"/>
        <v>1800.81</v>
      </c>
      <c r="E50" s="7">
        <v>25.0</v>
      </c>
      <c r="F50" s="8">
        <f t="shared" si="3"/>
        <v>72.0324</v>
      </c>
    </row>
    <row r="51">
      <c r="A51" s="4" t="s">
        <v>58</v>
      </c>
      <c r="B51" s="5">
        <v>84.5</v>
      </c>
      <c r="C51" s="6">
        <f t="shared" si="1"/>
        <v>90.415</v>
      </c>
      <c r="D51" s="6">
        <f t="shared" si="2"/>
        <v>99.4565</v>
      </c>
      <c r="E51" s="9">
        <v>10.0</v>
      </c>
      <c r="F51" s="8">
        <f t="shared" si="3"/>
        <v>9.94565</v>
      </c>
    </row>
    <row r="52">
      <c r="A52" s="4" t="s">
        <v>59</v>
      </c>
      <c r="B52" s="5">
        <v>100.99</v>
      </c>
      <c r="C52" s="6">
        <f t="shared" si="1"/>
        <v>108.0593</v>
      </c>
      <c r="D52" s="6">
        <f t="shared" si="2"/>
        <v>118.86523</v>
      </c>
      <c r="E52" s="9">
        <v>10.0</v>
      </c>
      <c r="F52" s="8">
        <f t="shared" si="3"/>
        <v>11.886523</v>
      </c>
    </row>
    <row r="53">
      <c r="A53" s="4" t="s">
        <v>60</v>
      </c>
      <c r="B53" s="5">
        <v>121.99</v>
      </c>
      <c r="C53" s="6">
        <f t="shared" si="1"/>
        <v>130.5293</v>
      </c>
      <c r="D53" s="6">
        <f t="shared" si="2"/>
        <v>143.58223</v>
      </c>
      <c r="E53" s="9">
        <v>10.0</v>
      </c>
      <c r="F53" s="8">
        <f t="shared" si="3"/>
        <v>14.358223</v>
      </c>
    </row>
    <row r="54">
      <c r="A54" s="4" t="s">
        <v>61</v>
      </c>
      <c r="B54" s="5">
        <v>170.99</v>
      </c>
      <c r="C54" s="6">
        <f t="shared" si="1"/>
        <v>182.9593</v>
      </c>
      <c r="D54" s="6">
        <f t="shared" si="2"/>
        <v>201.25523</v>
      </c>
      <c r="E54" s="9">
        <v>10.0</v>
      </c>
      <c r="F54" s="8">
        <f t="shared" si="3"/>
        <v>20.125523</v>
      </c>
    </row>
    <row r="55">
      <c r="A55" s="4" t="s">
        <v>62</v>
      </c>
      <c r="B55" s="5">
        <v>198.99</v>
      </c>
      <c r="C55" s="6">
        <f t="shared" si="1"/>
        <v>212.9193</v>
      </c>
      <c r="D55" s="6">
        <f t="shared" si="2"/>
        <v>234.21123</v>
      </c>
      <c r="E55" s="9">
        <v>10.0</v>
      </c>
      <c r="F55" s="8">
        <f t="shared" si="3"/>
        <v>23.421123</v>
      </c>
    </row>
    <row r="56">
      <c r="A56" s="4" t="s">
        <v>63</v>
      </c>
      <c r="B56" s="5">
        <v>195.99</v>
      </c>
      <c r="C56" s="6">
        <f t="shared" si="1"/>
        <v>209.7093</v>
      </c>
      <c r="D56" s="6">
        <f t="shared" si="2"/>
        <v>230.68023</v>
      </c>
      <c r="E56" s="9">
        <v>10.0</v>
      </c>
      <c r="F56" s="8">
        <f t="shared" si="3"/>
        <v>23.068023</v>
      </c>
    </row>
    <row r="57">
      <c r="A57" s="4" t="s">
        <v>64</v>
      </c>
      <c r="B57" s="5">
        <v>206.99</v>
      </c>
      <c r="C57" s="6">
        <f t="shared" si="1"/>
        <v>221.4793</v>
      </c>
      <c r="D57" s="6">
        <f t="shared" si="2"/>
        <v>243.62723</v>
      </c>
      <c r="E57" s="9">
        <v>10.0</v>
      </c>
      <c r="F57" s="8">
        <f t="shared" si="3"/>
        <v>24.362723</v>
      </c>
    </row>
    <row r="58">
      <c r="A58" s="4" t="s">
        <v>65</v>
      </c>
      <c r="B58" s="5">
        <v>218.99</v>
      </c>
      <c r="C58" s="6">
        <f t="shared" si="1"/>
        <v>234.3193</v>
      </c>
      <c r="D58" s="6">
        <f t="shared" si="2"/>
        <v>257.75123</v>
      </c>
      <c r="E58" s="9">
        <v>10.0</v>
      </c>
      <c r="F58" s="8">
        <f t="shared" si="3"/>
        <v>25.775123</v>
      </c>
    </row>
    <row r="59">
      <c r="A59" s="4" t="s">
        <v>66</v>
      </c>
      <c r="B59" s="5">
        <v>224.5</v>
      </c>
      <c r="C59" s="6">
        <f t="shared" si="1"/>
        <v>240.215</v>
      </c>
      <c r="D59" s="6">
        <f t="shared" si="2"/>
        <v>264.2365</v>
      </c>
      <c r="E59" s="9">
        <v>20.0</v>
      </c>
      <c r="F59" s="8">
        <f t="shared" si="3"/>
        <v>13.211825</v>
      </c>
    </row>
    <row r="60">
      <c r="A60" s="4" t="s">
        <v>67</v>
      </c>
      <c r="B60" s="5">
        <v>345.0</v>
      </c>
      <c r="C60" s="6">
        <f t="shared" si="1"/>
        <v>369.15</v>
      </c>
      <c r="D60" s="6">
        <f t="shared" si="2"/>
        <v>406.065</v>
      </c>
      <c r="E60" s="9">
        <v>30.0</v>
      </c>
      <c r="F60" s="8">
        <f t="shared" si="3"/>
        <v>13.5355</v>
      </c>
    </row>
    <row r="61">
      <c r="A61" s="4" t="s">
        <v>68</v>
      </c>
      <c r="B61" s="5">
        <v>875.0</v>
      </c>
      <c r="C61" s="6">
        <f t="shared" si="1"/>
        <v>936.25</v>
      </c>
      <c r="D61" s="6">
        <f t="shared" si="2"/>
        <v>1029.875</v>
      </c>
      <c r="E61" s="7">
        <v>10.0</v>
      </c>
      <c r="F61" s="8">
        <f t="shared" si="3"/>
        <v>102.9875</v>
      </c>
    </row>
    <row r="62">
      <c r="A62" s="4" t="s">
        <v>69</v>
      </c>
      <c r="B62" s="5">
        <v>437.5</v>
      </c>
      <c r="C62" s="6">
        <f t="shared" si="1"/>
        <v>468.125</v>
      </c>
      <c r="D62" s="6">
        <f t="shared" si="2"/>
        <v>514.9375</v>
      </c>
      <c r="E62" s="7">
        <v>5.0</v>
      </c>
      <c r="F62" s="8">
        <f t="shared" si="3"/>
        <v>102.9875</v>
      </c>
    </row>
    <row r="63">
      <c r="A63" s="4" t="s">
        <v>228</v>
      </c>
      <c r="B63" s="5">
        <v>552.0</v>
      </c>
      <c r="C63" s="6">
        <f t="shared" si="1"/>
        <v>590.64</v>
      </c>
      <c r="D63" s="6">
        <f t="shared" si="2"/>
        <v>649.704</v>
      </c>
      <c r="E63" s="7">
        <v>5.0</v>
      </c>
      <c r="F63" s="8">
        <f t="shared" si="3"/>
        <v>129.9408</v>
      </c>
    </row>
    <row r="64">
      <c r="A64" s="4" t="s">
        <v>229</v>
      </c>
      <c r="B64" s="5">
        <v>345.0</v>
      </c>
      <c r="C64" s="6">
        <f t="shared" si="1"/>
        <v>369.15</v>
      </c>
      <c r="D64" s="6">
        <f t="shared" si="2"/>
        <v>406.065</v>
      </c>
      <c r="E64" s="7">
        <v>20.0</v>
      </c>
      <c r="F64" s="8">
        <f t="shared" si="3"/>
        <v>20.30325</v>
      </c>
    </row>
    <row r="65">
      <c r="A65" s="4" t="s">
        <v>71</v>
      </c>
      <c r="B65" s="5">
        <v>178.0</v>
      </c>
      <c r="C65" s="6">
        <f t="shared" si="1"/>
        <v>190.46</v>
      </c>
      <c r="D65" s="6">
        <f t="shared" si="2"/>
        <v>209.506</v>
      </c>
      <c r="E65" s="9">
        <v>3.0</v>
      </c>
      <c r="F65" s="8">
        <f t="shared" si="3"/>
        <v>69.83533333</v>
      </c>
    </row>
    <row r="66">
      <c r="A66" s="4" t="s">
        <v>72</v>
      </c>
      <c r="B66" s="5">
        <v>22.75</v>
      </c>
      <c r="C66" s="6">
        <f t="shared" si="1"/>
        <v>24.3425</v>
      </c>
      <c r="D66" s="6">
        <f t="shared" si="2"/>
        <v>26.77675</v>
      </c>
      <c r="E66" s="9">
        <v>20.0</v>
      </c>
      <c r="F66" s="8">
        <f t="shared" si="3"/>
        <v>1.3388375</v>
      </c>
    </row>
    <row r="67">
      <c r="A67" s="4" t="s">
        <v>73</v>
      </c>
      <c r="B67" s="5">
        <v>39.5</v>
      </c>
      <c r="C67" s="6">
        <f t="shared" si="1"/>
        <v>42.265</v>
      </c>
      <c r="D67" s="6">
        <f t="shared" si="2"/>
        <v>46.4915</v>
      </c>
      <c r="E67" s="9">
        <v>20.0</v>
      </c>
      <c r="F67" s="8">
        <f t="shared" si="3"/>
        <v>2.324575</v>
      </c>
    </row>
    <row r="68">
      <c r="A68" s="4" t="s">
        <v>230</v>
      </c>
      <c r="B68" s="5">
        <v>45.15</v>
      </c>
      <c r="C68" s="6">
        <f t="shared" si="1"/>
        <v>48.3105</v>
      </c>
      <c r="D68" s="6">
        <f t="shared" si="2"/>
        <v>53.14155</v>
      </c>
      <c r="E68" s="10">
        <v>1.0</v>
      </c>
      <c r="F68" s="8">
        <f t="shared" si="3"/>
        <v>53.14155</v>
      </c>
    </row>
    <row r="69">
      <c r="A69" s="4" t="s">
        <v>75</v>
      </c>
      <c r="B69" s="5">
        <v>112.0</v>
      </c>
      <c r="C69" s="6">
        <f t="shared" si="1"/>
        <v>119.84</v>
      </c>
      <c r="D69" s="6">
        <f t="shared" si="2"/>
        <v>131.824</v>
      </c>
      <c r="E69" s="10">
        <v>20.0</v>
      </c>
      <c r="F69" s="8">
        <f t="shared" si="3"/>
        <v>6.5912</v>
      </c>
    </row>
    <row r="70">
      <c r="A70" s="4" t="s">
        <v>76</v>
      </c>
      <c r="B70" s="5">
        <v>8.85</v>
      </c>
      <c r="C70" s="6">
        <f t="shared" si="1"/>
        <v>9.4695</v>
      </c>
      <c r="D70" s="6">
        <f t="shared" si="2"/>
        <v>10.41645</v>
      </c>
      <c r="E70" s="10">
        <v>75.0</v>
      </c>
      <c r="F70" s="8">
        <f t="shared" si="3"/>
        <v>0.138886</v>
      </c>
    </row>
    <row r="71">
      <c r="A71" s="4" t="s">
        <v>77</v>
      </c>
      <c r="B71" s="5">
        <v>206.95</v>
      </c>
      <c r="C71" s="6">
        <f t="shared" si="1"/>
        <v>221.4365</v>
      </c>
      <c r="D71" s="6">
        <f t="shared" si="2"/>
        <v>243.58015</v>
      </c>
      <c r="E71" s="7">
        <v>5.0</v>
      </c>
      <c r="F71" s="8">
        <f t="shared" si="3"/>
        <v>48.71603</v>
      </c>
    </row>
    <row r="72">
      <c r="A72" s="4" t="s">
        <v>78</v>
      </c>
      <c r="B72" s="5">
        <v>209.55</v>
      </c>
      <c r="C72" s="6">
        <f t="shared" si="1"/>
        <v>224.2185</v>
      </c>
      <c r="D72" s="6">
        <f t="shared" si="2"/>
        <v>246.64035</v>
      </c>
      <c r="E72" s="7">
        <v>4.0</v>
      </c>
      <c r="F72" s="8">
        <f t="shared" si="3"/>
        <v>61.6600875</v>
      </c>
    </row>
    <row r="73">
      <c r="A73" s="4" t="s">
        <v>79</v>
      </c>
      <c r="B73" s="5">
        <v>309.0</v>
      </c>
      <c r="C73" s="6">
        <f t="shared" si="1"/>
        <v>330.63</v>
      </c>
      <c r="D73" s="6">
        <f t="shared" si="2"/>
        <v>363.693</v>
      </c>
      <c r="E73" s="7">
        <v>4.0</v>
      </c>
      <c r="F73" s="8">
        <f t="shared" si="3"/>
        <v>90.92325</v>
      </c>
    </row>
    <row r="74">
      <c r="A74" s="4" t="s">
        <v>80</v>
      </c>
      <c r="B74" s="5">
        <v>105.35</v>
      </c>
      <c r="C74" s="6">
        <f t="shared" si="1"/>
        <v>112.7245</v>
      </c>
      <c r="D74" s="6">
        <f t="shared" si="2"/>
        <v>123.99695</v>
      </c>
      <c r="E74" s="7">
        <v>3.333</v>
      </c>
      <c r="F74" s="8">
        <f t="shared" si="3"/>
        <v>37.20280528</v>
      </c>
    </row>
    <row r="75">
      <c r="A75" s="4" t="s">
        <v>81</v>
      </c>
      <c r="B75" s="5">
        <v>169.4</v>
      </c>
      <c r="C75" s="6">
        <f t="shared" si="1"/>
        <v>181.258</v>
      </c>
      <c r="D75" s="6">
        <f t="shared" si="2"/>
        <v>199.3838</v>
      </c>
      <c r="E75" s="7">
        <v>5.0</v>
      </c>
      <c r="F75" s="8">
        <f t="shared" si="3"/>
        <v>39.87676</v>
      </c>
    </row>
    <row r="76">
      <c r="A76" s="4" t="s">
        <v>82</v>
      </c>
      <c r="B76" s="5">
        <v>171.5</v>
      </c>
      <c r="C76" s="6">
        <f t="shared" si="1"/>
        <v>183.505</v>
      </c>
      <c r="D76" s="6">
        <f t="shared" si="2"/>
        <v>201.8555</v>
      </c>
      <c r="E76" s="7">
        <v>6.667</v>
      </c>
      <c r="F76" s="8">
        <f t="shared" si="3"/>
        <v>30.27681116</v>
      </c>
    </row>
    <row r="77">
      <c r="A77" s="4" t="s">
        <v>83</v>
      </c>
      <c r="B77" s="5">
        <v>254.95</v>
      </c>
      <c r="C77" s="6">
        <f t="shared" si="1"/>
        <v>272.7965</v>
      </c>
      <c r="D77" s="6">
        <f t="shared" si="2"/>
        <v>300.07615</v>
      </c>
      <c r="E77" s="7">
        <v>7.5</v>
      </c>
      <c r="F77" s="8">
        <f t="shared" si="3"/>
        <v>40.01015333</v>
      </c>
    </row>
    <row r="78">
      <c r="A78" s="4" t="s">
        <v>84</v>
      </c>
      <c r="B78" s="5">
        <v>168.99</v>
      </c>
      <c r="C78" s="6">
        <f t="shared" si="1"/>
        <v>180.8193</v>
      </c>
      <c r="D78" s="6">
        <f t="shared" si="2"/>
        <v>198.90123</v>
      </c>
      <c r="E78" s="7">
        <v>5.0</v>
      </c>
      <c r="F78" s="8">
        <f t="shared" si="3"/>
        <v>39.780246</v>
      </c>
    </row>
    <row r="79">
      <c r="A79" s="4" t="s">
        <v>85</v>
      </c>
      <c r="B79" s="5">
        <v>296.5</v>
      </c>
      <c r="C79" s="6">
        <f t="shared" si="1"/>
        <v>317.255</v>
      </c>
      <c r="D79" s="6">
        <f t="shared" si="2"/>
        <v>348.9805</v>
      </c>
      <c r="E79" s="7">
        <v>4.0</v>
      </c>
      <c r="F79" s="8">
        <f t="shared" si="3"/>
        <v>87.245125</v>
      </c>
    </row>
    <row r="80">
      <c r="A80" s="14" t="s">
        <v>113</v>
      </c>
      <c r="B80" s="15" t="s">
        <v>109</v>
      </c>
      <c r="C80" s="16" t="str">
        <f t="shared" si="1"/>
        <v>#VALUE!</v>
      </c>
      <c r="D80" s="16" t="str">
        <f t="shared" si="2"/>
        <v>#VALUE!</v>
      </c>
      <c r="E80" s="19">
        <v>4.0</v>
      </c>
      <c r="F80" s="18" t="str">
        <f t="shared" si="3"/>
        <v>#VALUE!</v>
      </c>
    </row>
    <row r="81">
      <c r="A81" s="4" t="s">
        <v>86</v>
      </c>
      <c r="B81" s="5">
        <v>131.99</v>
      </c>
      <c r="C81" s="6">
        <f t="shared" si="1"/>
        <v>141.2293</v>
      </c>
      <c r="D81" s="6">
        <f t="shared" si="2"/>
        <v>155.35223</v>
      </c>
      <c r="E81" s="7">
        <v>10.0</v>
      </c>
      <c r="F81" s="8">
        <f t="shared" si="3"/>
        <v>15.535223</v>
      </c>
    </row>
    <row r="82">
      <c r="A82" s="4" t="s">
        <v>87</v>
      </c>
      <c r="B82" s="5">
        <v>171.5</v>
      </c>
      <c r="C82" s="6">
        <f t="shared" si="1"/>
        <v>183.505</v>
      </c>
      <c r="D82" s="6">
        <f t="shared" si="2"/>
        <v>201.8555</v>
      </c>
      <c r="E82" s="7">
        <v>3.333</v>
      </c>
      <c r="F82" s="8">
        <f t="shared" si="3"/>
        <v>60.56270627</v>
      </c>
    </row>
    <row r="83">
      <c r="A83" s="4" t="s">
        <v>88</v>
      </c>
      <c r="B83" s="5">
        <v>2459.0</v>
      </c>
      <c r="C83" s="6">
        <f t="shared" si="1"/>
        <v>2631.13</v>
      </c>
      <c r="D83" s="6">
        <f t="shared" si="2"/>
        <v>2894.243</v>
      </c>
      <c r="E83" s="7">
        <v>32.47</v>
      </c>
      <c r="F83" s="8">
        <f t="shared" si="3"/>
        <v>89.13591007</v>
      </c>
    </row>
    <row r="84">
      <c r="A84" s="4" t="s">
        <v>89</v>
      </c>
      <c r="B84" s="5">
        <v>2459.0</v>
      </c>
      <c r="C84" s="6">
        <f t="shared" si="1"/>
        <v>2631.13</v>
      </c>
      <c r="D84" s="6">
        <f t="shared" si="2"/>
        <v>2894.243</v>
      </c>
      <c r="E84" s="7">
        <v>24.35</v>
      </c>
      <c r="F84" s="8">
        <f t="shared" si="3"/>
        <v>118.8600821</v>
      </c>
    </row>
    <row r="85">
      <c r="A85" s="20" t="s">
        <v>114</v>
      </c>
      <c r="B85" s="21">
        <v>160.0</v>
      </c>
      <c r="C85" s="22">
        <f t="shared" si="1"/>
        <v>171.2</v>
      </c>
      <c r="D85" s="22">
        <f t="shared" si="2"/>
        <v>188.32</v>
      </c>
      <c r="E85" s="23">
        <v>15.0</v>
      </c>
      <c r="F85" s="24">
        <f t="shared" si="3"/>
        <v>12.55466667</v>
      </c>
    </row>
    <row r="86">
      <c r="A86" s="4" t="s">
        <v>115</v>
      </c>
      <c r="B86" s="25">
        <v>94.99</v>
      </c>
      <c r="C86" s="6">
        <f t="shared" si="1"/>
        <v>101.6393</v>
      </c>
      <c r="D86" s="6">
        <f t="shared" si="2"/>
        <v>111.80323</v>
      </c>
      <c r="E86" s="7">
        <v>2.0</v>
      </c>
      <c r="F86" s="8">
        <f t="shared" si="3"/>
        <v>55.901615</v>
      </c>
    </row>
    <row r="87">
      <c r="A87" s="4" t="s">
        <v>116</v>
      </c>
      <c r="B87" s="25">
        <v>92.99</v>
      </c>
      <c r="C87" s="6">
        <f t="shared" si="1"/>
        <v>99.4993</v>
      </c>
      <c r="D87" s="6">
        <f t="shared" si="2"/>
        <v>109.44923</v>
      </c>
      <c r="E87" s="7">
        <v>1.0</v>
      </c>
      <c r="F87" s="8">
        <f t="shared" si="3"/>
        <v>109.44923</v>
      </c>
    </row>
    <row r="88">
      <c r="A88" s="4" t="s">
        <v>117</v>
      </c>
      <c r="B88" s="13"/>
      <c r="C88" s="6">
        <f t="shared" si="1"/>
        <v>0</v>
      </c>
      <c r="D88" s="6">
        <f t="shared" si="2"/>
        <v>0</v>
      </c>
      <c r="E88" s="7">
        <v>13.0</v>
      </c>
      <c r="F88" s="8">
        <f t="shared" si="3"/>
        <v>0</v>
      </c>
    </row>
    <row r="89">
      <c r="A89" s="4" t="s">
        <v>118</v>
      </c>
      <c r="B89" s="11">
        <v>147.0</v>
      </c>
      <c r="C89" s="6">
        <f t="shared" si="1"/>
        <v>157.29</v>
      </c>
      <c r="D89" s="6">
        <f t="shared" si="2"/>
        <v>173.019</v>
      </c>
      <c r="E89" s="7">
        <v>7.5</v>
      </c>
      <c r="F89" s="8">
        <f t="shared" si="3"/>
        <v>23.0692</v>
      </c>
    </row>
    <row r="90">
      <c r="A90" s="4" t="s">
        <v>119</v>
      </c>
      <c r="B90" s="25">
        <v>37.44</v>
      </c>
      <c r="C90" s="6">
        <f t="shared" si="1"/>
        <v>40.0608</v>
      </c>
      <c r="D90" s="6">
        <f t="shared" si="2"/>
        <v>44.06688</v>
      </c>
      <c r="E90" s="7">
        <v>1.0</v>
      </c>
      <c r="F90" s="8">
        <f t="shared" si="3"/>
        <v>44.06688</v>
      </c>
    </row>
    <row r="91">
      <c r="A91" s="4" t="s">
        <v>120</v>
      </c>
      <c r="B91" s="11">
        <v>8.0</v>
      </c>
      <c r="C91" s="6">
        <f t="shared" si="1"/>
        <v>8.56</v>
      </c>
      <c r="D91" s="6">
        <f t="shared" si="2"/>
        <v>9.416</v>
      </c>
      <c r="E91" s="7">
        <v>1.0</v>
      </c>
      <c r="F91" s="8">
        <f t="shared" si="3"/>
        <v>9.416</v>
      </c>
    </row>
    <row r="92">
      <c r="A92" s="4" t="s">
        <v>121</v>
      </c>
      <c r="B92" s="11">
        <v>16.0</v>
      </c>
      <c r="C92" s="6">
        <f t="shared" si="1"/>
        <v>17.12</v>
      </c>
      <c r="D92" s="6">
        <f t="shared" si="2"/>
        <v>18.832</v>
      </c>
      <c r="E92" s="7">
        <v>1.0</v>
      </c>
      <c r="F92" s="8">
        <f t="shared" si="3"/>
        <v>18.832</v>
      </c>
    </row>
    <row r="93">
      <c r="A93" s="4"/>
      <c r="B93" s="5"/>
      <c r="C93" s="6"/>
      <c r="D93" s="6"/>
      <c r="E93" s="7"/>
      <c r="F93" s="8"/>
    </row>
    <row r="94">
      <c r="A94" s="4"/>
      <c r="B94" s="5"/>
      <c r="C94" s="6"/>
      <c r="D94" s="6"/>
      <c r="E94" s="7"/>
      <c r="F94" s="8"/>
    </row>
  </sheetData>
  <drawing r:id="rId1"/>
</worksheet>
</file>